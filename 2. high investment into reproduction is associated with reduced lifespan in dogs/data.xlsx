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3C5D79A5-29B5-495D-A768-AC9D5D412AC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N168" i="1" l="1"/>
  <c r="CC168" i="1" s="1"/>
  <c r="BM168" i="1"/>
  <c r="AQ168" i="1"/>
  <c r="AS168" i="1" s="1"/>
  <c r="AE168" i="1"/>
  <c r="AG168" i="1" s="1"/>
  <c r="CC167" i="1"/>
  <c r="BN166" i="1"/>
  <c r="CC166" i="1" s="1"/>
  <c r="AQ166" i="1"/>
  <c r="AS166" i="1" s="1"/>
  <c r="AE166" i="1"/>
  <c r="AG166" i="1" s="1"/>
  <c r="BN165" i="1"/>
  <c r="CC165" i="1" s="1"/>
  <c r="AQ165" i="1"/>
  <c r="AS165" i="1" s="1"/>
  <c r="AE165" i="1"/>
  <c r="AG165" i="1" s="1"/>
  <c r="CA164" i="1"/>
  <c r="BY164" i="1"/>
  <c r="BZ164" i="1" s="1"/>
  <c r="BN164" i="1"/>
  <c r="AQ164" i="1"/>
  <c r="AS164" i="1" s="1"/>
  <c r="AF164" i="1"/>
  <c r="AE164" i="1"/>
  <c r="W164" i="1"/>
  <c r="CA163" i="1"/>
  <c r="CB163" i="1" s="1"/>
  <c r="BY163" i="1"/>
  <c r="BZ163" i="1" s="1"/>
  <c r="BN163" i="1"/>
  <c r="AQ163" i="1"/>
  <c r="AS163" i="1" s="1"/>
  <c r="AF163" i="1"/>
  <c r="AE163" i="1"/>
  <c r="AG163" i="1" s="1"/>
  <c r="W163" i="1"/>
  <c r="CA162" i="1"/>
  <c r="BN162" i="1"/>
  <c r="BM162" i="1"/>
  <c r="BL162" i="1"/>
  <c r="AR162" i="1"/>
  <c r="AQ162" i="1"/>
  <c r="AS162" i="1" s="1"/>
  <c r="AF162" i="1"/>
  <c r="AE162" i="1"/>
  <c r="AG162" i="1" s="1"/>
  <c r="CC161" i="1"/>
  <c r="CA160" i="1"/>
  <c r="CB160" i="1" s="1"/>
  <c r="BY160" i="1"/>
  <c r="BZ160" i="1" s="1"/>
  <c r="BN160" i="1"/>
  <c r="BM160" i="1"/>
  <c r="AQ160" i="1"/>
  <c r="AS160" i="1" s="1"/>
  <c r="AF160" i="1"/>
  <c r="AE160" i="1"/>
  <c r="W160" i="1"/>
  <c r="CF141" i="1"/>
  <c r="CA141" i="1"/>
  <c r="BY141" i="1"/>
  <c r="BZ141" i="1" s="1"/>
  <c r="BN141" i="1"/>
  <c r="BM141" i="1"/>
  <c r="AR141" i="1"/>
  <c r="AQ141" i="1"/>
  <c r="AS141" i="1" s="1"/>
  <c r="AF141" i="1"/>
  <c r="AE141" i="1"/>
  <c r="CA140" i="1"/>
  <c r="BY140" i="1"/>
  <c r="BZ140" i="1" s="1"/>
  <c r="BI140" i="1"/>
  <c r="BM140" i="1" s="1"/>
  <c r="AR140" i="1"/>
  <c r="AQ140" i="1"/>
  <c r="AS140" i="1" s="1"/>
  <c r="AF140" i="1"/>
  <c r="AE140" i="1"/>
  <c r="AG140" i="1" s="1"/>
  <c r="CA139" i="1"/>
  <c r="CB139" i="1" s="1"/>
  <c r="BY139" i="1"/>
  <c r="BZ139" i="1" s="1"/>
  <c r="BN139" i="1"/>
  <c r="BM139" i="1"/>
  <c r="AR139" i="1"/>
  <c r="AQ139" i="1"/>
  <c r="AS139" i="1" s="1"/>
  <c r="AF139" i="1"/>
  <c r="AE139" i="1"/>
  <c r="CF138" i="1"/>
  <c r="CA138" i="1"/>
  <c r="BY138" i="1"/>
  <c r="BZ138" i="1" s="1"/>
  <c r="BN138" i="1"/>
  <c r="BM138" i="1"/>
  <c r="AR138" i="1"/>
  <c r="AQ138" i="1"/>
  <c r="AS138" i="1" s="1"/>
  <c r="AF138" i="1"/>
  <c r="AE138" i="1"/>
  <c r="W138" i="1"/>
  <c r="CF137" i="1"/>
  <c r="CA137" i="1"/>
  <c r="CB137" i="1" s="1"/>
  <c r="BY137" i="1"/>
  <c r="BZ137" i="1" s="1"/>
  <c r="BN137" i="1"/>
  <c r="BM137" i="1"/>
  <c r="AR137" i="1"/>
  <c r="AQ137" i="1"/>
  <c r="AS137" i="1" s="1"/>
  <c r="AF137" i="1"/>
  <c r="AE137" i="1"/>
  <c r="CA136" i="1"/>
  <c r="BY136" i="1"/>
  <c r="BZ136" i="1" s="1"/>
  <c r="BN136" i="1"/>
  <c r="BM136" i="1"/>
  <c r="CA135" i="1"/>
  <c r="BY135" i="1"/>
  <c r="BZ135" i="1" s="1"/>
  <c r="BN135" i="1"/>
  <c r="BM135" i="1"/>
  <c r="AR135" i="1"/>
  <c r="AQ135" i="1"/>
  <c r="AS135" i="1" s="1"/>
  <c r="AF135" i="1"/>
  <c r="AE135" i="1"/>
  <c r="W135" i="1"/>
  <c r="BN134" i="1"/>
  <c r="CC134" i="1" s="1"/>
  <c r="BM134" i="1"/>
  <c r="AQ134" i="1"/>
  <c r="AS134" i="1" s="1"/>
  <c r="AF134" i="1"/>
  <c r="AE134" i="1"/>
  <c r="CF133" i="1"/>
  <c r="CA133" i="1"/>
  <c r="BY133" i="1"/>
  <c r="BZ133" i="1" s="1"/>
  <c r="BN133" i="1"/>
  <c r="BM133" i="1"/>
  <c r="AR133" i="1"/>
  <c r="AQ133" i="1"/>
  <c r="AS133" i="1" s="1"/>
  <c r="AF133" i="1"/>
  <c r="AE133" i="1"/>
  <c r="CA132" i="1"/>
  <c r="CB132" i="1" s="1"/>
  <c r="BY132" i="1"/>
  <c r="BZ132" i="1" s="1"/>
  <c r="BN132" i="1"/>
  <c r="BM132" i="1"/>
  <c r="AR132" i="1"/>
  <c r="AQ132" i="1"/>
  <c r="AS132" i="1" s="1"/>
  <c r="AF132" i="1"/>
  <c r="AE132" i="1"/>
  <c r="W132" i="1"/>
  <c r="BN131" i="1"/>
  <c r="CC131" i="1" s="1"/>
  <c r="BM131" i="1"/>
  <c r="AQ131" i="1"/>
  <c r="AS131" i="1" s="1"/>
  <c r="AE131" i="1"/>
  <c r="AG131" i="1" s="1"/>
  <c r="CA130" i="1"/>
  <c r="BY130" i="1"/>
  <c r="BZ130" i="1" s="1"/>
  <c r="BN130" i="1"/>
  <c r="BM130" i="1"/>
  <c r="AQ130" i="1"/>
  <c r="AS130" i="1" s="1"/>
  <c r="AF130" i="1"/>
  <c r="AE130" i="1"/>
  <c r="W130" i="1"/>
  <c r="BN129" i="1"/>
  <c r="CC129" i="1" s="1"/>
  <c r="BM129" i="1"/>
  <c r="AQ129" i="1"/>
  <c r="AS129" i="1" s="1"/>
  <c r="AE129" i="1"/>
  <c r="AG129" i="1" s="1"/>
  <c r="CF128" i="1"/>
  <c r="CA128" i="1"/>
  <c r="BY128" i="1"/>
  <c r="BZ128" i="1" s="1"/>
  <c r="BN128" i="1"/>
  <c r="BM128" i="1"/>
  <c r="AR128" i="1"/>
  <c r="AQ128" i="1"/>
  <c r="AS128" i="1" s="1"/>
  <c r="AF128" i="1"/>
  <c r="AE128" i="1"/>
  <c r="W128" i="1"/>
  <c r="CA127" i="1"/>
  <c r="BY127" i="1"/>
  <c r="BZ127" i="1" s="1"/>
  <c r="BN127" i="1"/>
  <c r="BM127" i="1"/>
  <c r="AR127" i="1"/>
  <c r="AQ127" i="1"/>
  <c r="AS127" i="1" s="1"/>
  <c r="AF127" i="1"/>
  <c r="AE127" i="1"/>
  <c r="AG127" i="1" s="1"/>
  <c r="W127" i="1"/>
  <c r="CA126" i="1"/>
  <c r="BY126" i="1"/>
  <c r="BZ126" i="1" s="1"/>
  <c r="BN126" i="1"/>
  <c r="BM126" i="1"/>
  <c r="AQ126" i="1"/>
  <c r="AS126" i="1" s="1"/>
  <c r="AF126" i="1"/>
  <c r="AE126" i="1"/>
  <c r="CA125" i="1"/>
  <c r="CB125" i="1" s="1"/>
  <c r="BY125" i="1"/>
  <c r="BZ125" i="1" s="1"/>
  <c r="BL125" i="1"/>
  <c r="BI125" i="1"/>
  <c r="BN125" i="1" s="1"/>
  <c r="AR125" i="1"/>
  <c r="AQ125" i="1"/>
  <c r="AS125" i="1" s="1"/>
  <c r="AF125" i="1"/>
  <c r="AE125" i="1"/>
  <c r="BN124" i="1"/>
  <c r="CC124" i="1" s="1"/>
  <c r="BM124" i="1"/>
  <c r="AR124" i="1"/>
  <c r="AQ124" i="1"/>
  <c r="AS124" i="1" s="1"/>
  <c r="AF124" i="1"/>
  <c r="AE124" i="1"/>
  <c r="CA123" i="1"/>
  <c r="BY123" i="1"/>
  <c r="BZ123" i="1" s="1"/>
  <c r="BN123" i="1"/>
  <c r="BM123" i="1"/>
  <c r="AQ123" i="1"/>
  <c r="AS123" i="1" s="1"/>
  <c r="AF123" i="1"/>
  <c r="AE123" i="1"/>
  <c r="W123" i="1"/>
  <c r="BN122" i="1"/>
  <c r="CC122" i="1" s="1"/>
  <c r="BM122" i="1"/>
  <c r="AQ122" i="1"/>
  <c r="AS122" i="1" s="1"/>
  <c r="AE122" i="1"/>
  <c r="AG122" i="1" s="1"/>
  <c r="CA121" i="1"/>
  <c r="BY121" i="1"/>
  <c r="BZ121" i="1" s="1"/>
  <c r="BN121" i="1"/>
  <c r="AQ121" i="1"/>
  <c r="AS121" i="1" s="1"/>
  <c r="AF121" i="1"/>
  <c r="AE121" i="1"/>
  <c r="W121" i="1"/>
  <c r="BN120" i="1"/>
  <c r="CC120" i="1" s="1"/>
  <c r="BM120" i="1"/>
  <c r="BL120" i="1"/>
  <c r="AQ120" i="1"/>
  <c r="AS120" i="1" s="1"/>
  <c r="AF120" i="1"/>
  <c r="AE120" i="1"/>
  <c r="CA119" i="1"/>
  <c r="BY119" i="1"/>
  <c r="BZ119" i="1" s="1"/>
  <c r="BN119" i="1"/>
  <c r="BM119" i="1"/>
  <c r="BL119" i="1"/>
  <c r="AR119" i="1"/>
  <c r="AQ119" i="1"/>
  <c r="AS119" i="1" s="1"/>
  <c r="AF119" i="1"/>
  <c r="AE119" i="1"/>
  <c r="W119" i="1"/>
  <c r="CA118" i="1"/>
  <c r="BY118" i="1"/>
  <c r="BZ118" i="1" s="1"/>
  <c r="BN118" i="1"/>
  <c r="BM118" i="1"/>
  <c r="AQ118" i="1"/>
  <c r="AS118" i="1" s="1"/>
  <c r="AE118" i="1"/>
  <c r="AG118" i="1" s="1"/>
  <c r="BN117" i="1"/>
  <c r="CC117" i="1" s="1"/>
  <c r="AQ117" i="1"/>
  <c r="AS117" i="1" s="1"/>
  <c r="AE117" i="1"/>
  <c r="AG117" i="1" s="1"/>
  <c r="CA116" i="1"/>
  <c r="BY116" i="1"/>
  <c r="BZ116" i="1" s="1"/>
  <c r="BN116" i="1"/>
  <c r="BM116" i="1"/>
  <c r="BL116" i="1"/>
  <c r="AQ116" i="1"/>
  <c r="AS116" i="1" s="1"/>
  <c r="AF116" i="1"/>
  <c r="AE116" i="1"/>
  <c r="W116" i="1"/>
  <c r="CA115" i="1"/>
  <c r="BY115" i="1"/>
  <c r="BZ115" i="1" s="1"/>
  <c r="BN115" i="1"/>
  <c r="BM115" i="1"/>
  <c r="AR115" i="1"/>
  <c r="AQ115" i="1"/>
  <c r="AS115" i="1" s="1"/>
  <c r="AF115" i="1"/>
  <c r="AE115" i="1"/>
  <c r="CA114" i="1"/>
  <c r="CB114" i="1" s="1"/>
  <c r="BY114" i="1"/>
  <c r="BZ114" i="1" s="1"/>
  <c r="BN114" i="1"/>
  <c r="BM114" i="1"/>
  <c r="AR114" i="1"/>
  <c r="AQ114" i="1"/>
  <c r="AS114" i="1" s="1"/>
  <c r="AF114" i="1"/>
  <c r="AE114" i="1"/>
  <c r="BN113" i="1"/>
  <c r="CC113" i="1" s="1"/>
  <c r="BM113" i="1"/>
  <c r="AQ113" i="1"/>
  <c r="AS113" i="1" s="1"/>
  <c r="AE113" i="1"/>
  <c r="AG113" i="1" s="1"/>
  <c r="CA112" i="1"/>
  <c r="CB112" i="1" s="1"/>
  <c r="BY112" i="1"/>
  <c r="BZ112" i="1" s="1"/>
  <c r="BN112" i="1"/>
  <c r="BM112" i="1"/>
  <c r="AR112" i="1"/>
  <c r="AQ112" i="1"/>
  <c r="AS112" i="1" s="1"/>
  <c r="AF112" i="1"/>
  <c r="AE112" i="1"/>
  <c r="CA111" i="1"/>
  <c r="BY111" i="1"/>
  <c r="BZ111" i="1" s="1"/>
  <c r="BN111" i="1"/>
  <c r="BM111" i="1"/>
  <c r="AR111" i="1"/>
  <c r="AQ111" i="1"/>
  <c r="AS111" i="1" s="1"/>
  <c r="AF111" i="1"/>
  <c r="AE111" i="1"/>
  <c r="W111" i="1"/>
  <c r="CA110" i="1"/>
  <c r="BY110" i="1"/>
  <c r="BZ110" i="1" s="1"/>
  <c r="BN110" i="1"/>
  <c r="BM110" i="1"/>
  <c r="AQ110" i="1"/>
  <c r="AS110" i="1" s="1"/>
  <c r="AE110" i="1"/>
  <c r="AG110" i="1" s="1"/>
  <c r="BN109" i="1"/>
  <c r="CC109" i="1" s="1"/>
  <c r="BM109" i="1"/>
  <c r="AQ109" i="1"/>
  <c r="AS109" i="1" s="1"/>
  <c r="AE109" i="1"/>
  <c r="AG109" i="1" s="1"/>
  <c r="CA108" i="1"/>
  <c r="CB108" i="1" s="1"/>
  <c r="BY108" i="1"/>
  <c r="BZ108" i="1" s="1"/>
  <c r="BN108" i="1"/>
  <c r="BM108" i="1"/>
  <c r="AQ108" i="1"/>
  <c r="AS108" i="1" s="1"/>
  <c r="AF108" i="1"/>
  <c r="AE108" i="1"/>
  <c r="W108" i="1"/>
  <c r="CA107" i="1"/>
  <c r="CB107" i="1" s="1"/>
  <c r="BY107" i="1"/>
  <c r="BZ107" i="1" s="1"/>
  <c r="BN107" i="1"/>
  <c r="BM107" i="1"/>
  <c r="AQ107" i="1"/>
  <c r="AS107" i="1" s="1"/>
  <c r="AF107" i="1"/>
  <c r="AE107" i="1"/>
  <c r="W107" i="1"/>
  <c r="CA106" i="1"/>
  <c r="BN106" i="1"/>
  <c r="BM106" i="1"/>
  <c r="BL106" i="1"/>
  <c r="AQ106" i="1"/>
  <c r="AS106" i="1" s="1"/>
  <c r="AF106" i="1"/>
  <c r="AE106" i="1"/>
  <c r="BN105" i="1"/>
  <c r="CC105" i="1" s="1"/>
  <c r="AQ105" i="1"/>
  <c r="AS105" i="1" s="1"/>
  <c r="AE105" i="1"/>
  <c r="AG105" i="1" s="1"/>
  <c r="CA104" i="1"/>
  <c r="BY104" i="1"/>
  <c r="BZ104" i="1" s="1"/>
  <c r="BN104" i="1"/>
  <c r="BL104" i="1"/>
  <c r="AR104" i="1"/>
  <c r="AQ104" i="1"/>
  <c r="AS104" i="1" s="1"/>
  <c r="AF104" i="1"/>
  <c r="AE104" i="1"/>
  <c r="W104" i="1"/>
  <c r="BN103" i="1"/>
  <c r="CC103" i="1" s="1"/>
  <c r="BM103" i="1"/>
  <c r="AQ103" i="1"/>
  <c r="AS103" i="1" s="1"/>
  <c r="AE103" i="1"/>
  <c r="AG103" i="1" s="1"/>
  <c r="CA102" i="1"/>
  <c r="BY102" i="1"/>
  <c r="BZ102" i="1" s="1"/>
  <c r="BN102" i="1"/>
  <c r="BM102" i="1"/>
  <c r="BL102" i="1"/>
  <c r="AQ102" i="1"/>
  <c r="AS102" i="1" s="1"/>
  <c r="AF102" i="1"/>
  <c r="AE102" i="1"/>
  <c r="AG102" i="1" s="1"/>
  <c r="W102" i="1"/>
  <c r="CF101" i="1"/>
  <c r="CA101" i="1"/>
  <c r="BY101" i="1"/>
  <c r="BZ101" i="1" s="1"/>
  <c r="BN101" i="1"/>
  <c r="BM101" i="1"/>
  <c r="AQ101" i="1"/>
  <c r="AS101" i="1" s="1"/>
  <c r="AF101" i="1"/>
  <c r="AE101" i="1"/>
  <c r="W101" i="1"/>
  <c r="CA100" i="1"/>
  <c r="CB100" i="1" s="1"/>
  <c r="BY100" i="1"/>
  <c r="BZ100" i="1" s="1"/>
  <c r="BN100" i="1"/>
  <c r="AQ100" i="1"/>
  <c r="AS100" i="1" s="1"/>
  <c r="AF100" i="1"/>
  <c r="AE100" i="1"/>
  <c r="W100" i="1"/>
  <c r="CA99" i="1"/>
  <c r="BY99" i="1"/>
  <c r="BZ99" i="1" s="1"/>
  <c r="BN99" i="1"/>
  <c r="BM99" i="1"/>
  <c r="AR99" i="1"/>
  <c r="AQ99" i="1"/>
  <c r="AS99" i="1" s="1"/>
  <c r="AF99" i="1"/>
  <c r="AE99" i="1"/>
  <c r="W99" i="1"/>
  <c r="CA98" i="1"/>
  <c r="BY98" i="1"/>
  <c r="BZ98" i="1" s="1"/>
  <c r="BN98" i="1"/>
  <c r="BM98" i="1"/>
  <c r="AQ98" i="1"/>
  <c r="AS98" i="1" s="1"/>
  <c r="AF98" i="1"/>
  <c r="AE98" i="1"/>
  <c r="W98" i="1"/>
  <c r="CA97" i="1"/>
  <c r="BN97" i="1"/>
  <c r="BM97" i="1"/>
  <c r="BL97" i="1"/>
  <c r="AQ97" i="1"/>
  <c r="AS97" i="1" s="1"/>
  <c r="AE97" i="1"/>
  <c r="AG97" i="1" s="1"/>
  <c r="CA96" i="1"/>
  <c r="CB96" i="1" s="1"/>
  <c r="BN96" i="1"/>
  <c r="BM96" i="1"/>
  <c r="BL96" i="1"/>
  <c r="AR96" i="1"/>
  <c r="AQ96" i="1"/>
  <c r="AS96" i="1" s="1"/>
  <c r="AF96" i="1"/>
  <c r="AE96" i="1"/>
  <c r="AG96" i="1" s="1"/>
  <c r="CF95" i="1"/>
  <c r="CA95" i="1"/>
  <c r="CB95" i="1" s="1"/>
  <c r="BY95" i="1"/>
  <c r="BZ95" i="1" s="1"/>
  <c r="BN95" i="1"/>
  <c r="BM95" i="1"/>
  <c r="AQ95" i="1"/>
  <c r="AS95" i="1" s="1"/>
  <c r="AF95" i="1"/>
  <c r="AE95" i="1"/>
  <c r="BN94" i="1"/>
  <c r="CC94" i="1" s="1"/>
  <c r="BM94" i="1"/>
  <c r="AQ94" i="1"/>
  <c r="AS94" i="1" s="1"/>
  <c r="AF94" i="1"/>
  <c r="AE94" i="1"/>
  <c r="W169" i="1"/>
  <c r="AE169" i="1"/>
  <c r="AF169" i="1"/>
  <c r="AQ169" i="1"/>
  <c r="AS169" i="1" s="1"/>
  <c r="BL169" i="1"/>
  <c r="BM169" i="1"/>
  <c r="BN169" i="1"/>
  <c r="CA169" i="1"/>
  <c r="CC170" i="1"/>
  <c r="CC171" i="1"/>
  <c r="BM172" i="1"/>
  <c r="BN172" i="1"/>
  <c r="CC172" i="1" s="1"/>
  <c r="CC173" i="1"/>
  <c r="AE174" i="1"/>
  <c r="AG174" i="1" s="1"/>
  <c r="AQ174" i="1"/>
  <c r="AS174" i="1" s="1"/>
  <c r="CC174" i="1"/>
  <c r="AE175" i="1"/>
  <c r="AG175" i="1" s="1"/>
  <c r="AQ175" i="1"/>
  <c r="AS175" i="1" s="1"/>
  <c r="CC175" i="1"/>
  <c r="AE142" i="1"/>
  <c r="AF142" i="1"/>
  <c r="AQ142" i="1"/>
  <c r="AS142" i="1" s="1"/>
  <c r="BN142" i="1"/>
  <c r="CC142" i="1" s="1"/>
  <c r="AE176" i="1"/>
  <c r="AG176" i="1" s="1"/>
  <c r="AQ176" i="1"/>
  <c r="AS176" i="1" s="1"/>
  <c r="CC176" i="1"/>
  <c r="AE150" i="1"/>
  <c r="AG150" i="1" s="1"/>
  <c r="AQ150" i="1"/>
  <c r="AS150" i="1" s="1"/>
  <c r="BM150" i="1"/>
  <c r="BN150" i="1"/>
  <c r="CC150" i="1" s="1"/>
  <c r="AE143" i="1"/>
  <c r="AG143" i="1" s="1"/>
  <c r="AQ143" i="1"/>
  <c r="AS143" i="1" s="1"/>
  <c r="BN143" i="1"/>
  <c r="CC143" i="1" s="1"/>
  <c r="AE177" i="1"/>
  <c r="AG177" i="1" s="1"/>
  <c r="AQ177" i="1"/>
  <c r="AS177" i="1" s="1"/>
  <c r="CC177" i="1"/>
  <c r="CC178" i="1"/>
  <c r="AE179" i="1"/>
  <c r="AG179" i="1" s="1"/>
  <c r="AQ179" i="1"/>
  <c r="AS179" i="1" s="1"/>
  <c r="CC179" i="1"/>
  <c r="AE180" i="1"/>
  <c r="AG180" i="1" s="1"/>
  <c r="AQ180" i="1"/>
  <c r="AS180" i="1" s="1"/>
  <c r="CC180" i="1"/>
  <c r="AE181" i="1"/>
  <c r="AG181" i="1" s="1"/>
  <c r="AQ181" i="1"/>
  <c r="AS181" i="1" s="1"/>
  <c r="BM181" i="1"/>
  <c r="BN181" i="1"/>
  <c r="BY181" i="1"/>
  <c r="BZ181" i="1" s="1"/>
  <c r="CA181" i="1"/>
  <c r="CB181" i="1" s="1"/>
  <c r="CC182" i="1"/>
  <c r="CC183" i="1"/>
  <c r="CC184" i="1"/>
  <c r="CC185" i="1"/>
  <c r="AE186" i="1"/>
  <c r="AG186" i="1" s="1"/>
  <c r="AQ186" i="1"/>
  <c r="AS186" i="1" s="1"/>
  <c r="CC186" i="1"/>
  <c r="CC187" i="1"/>
  <c r="CC188" i="1"/>
  <c r="CC189" i="1"/>
  <c r="AE144" i="1"/>
  <c r="AG144" i="1" s="1"/>
  <c r="AQ144" i="1"/>
  <c r="AS144" i="1" s="1"/>
  <c r="BN144" i="1"/>
  <c r="CC144" i="1" s="1"/>
  <c r="BM190" i="1"/>
  <c r="BN190" i="1"/>
  <c r="CC190" i="1" s="1"/>
  <c r="AE191" i="1"/>
  <c r="AG191" i="1" s="1"/>
  <c r="AQ191" i="1"/>
  <c r="AS191" i="1" s="1"/>
  <c r="BM191" i="1"/>
  <c r="BN191" i="1"/>
  <c r="CC191" i="1" s="1"/>
  <c r="AE192" i="1"/>
  <c r="AG192" i="1" s="1"/>
  <c r="AQ192" i="1"/>
  <c r="AS192" i="1" s="1"/>
  <c r="CC192" i="1"/>
  <c r="AE193" i="1"/>
  <c r="AG193" i="1" s="1"/>
  <c r="AQ193" i="1"/>
  <c r="AS193" i="1" s="1"/>
  <c r="BM193" i="1"/>
  <c r="BN193" i="1"/>
  <c r="CC193" i="1" s="1"/>
  <c r="CC194" i="1"/>
  <c r="W195" i="1"/>
  <c r="AE195" i="1"/>
  <c r="AF195" i="1"/>
  <c r="AQ195" i="1"/>
  <c r="AS195" i="1" s="1"/>
  <c r="BM195" i="1"/>
  <c r="BN195" i="1"/>
  <c r="BY195" i="1"/>
  <c r="BZ195" i="1" s="1"/>
  <c r="CA195" i="1"/>
  <c r="CB195" i="1" s="1"/>
  <c r="BM196" i="1"/>
  <c r="BN196" i="1"/>
  <c r="CC196" i="1" s="1"/>
  <c r="AE197" i="1"/>
  <c r="AG197" i="1" s="1"/>
  <c r="AQ197" i="1"/>
  <c r="AS197" i="1" s="1"/>
  <c r="CC197" i="1"/>
  <c r="AE198" i="1"/>
  <c r="AG198" i="1" s="1"/>
  <c r="AQ198" i="1"/>
  <c r="AS198" i="1" s="1"/>
  <c r="BM198" i="1"/>
  <c r="BN198" i="1"/>
  <c r="CC198" i="1" s="1"/>
  <c r="AE199" i="1"/>
  <c r="AG199" i="1" s="1"/>
  <c r="AQ199" i="1"/>
  <c r="AS199" i="1" s="1"/>
  <c r="CC199" i="1"/>
  <c r="CC200" i="1"/>
  <c r="AE201" i="1"/>
  <c r="AF201" i="1"/>
  <c r="AQ201" i="1"/>
  <c r="AS201" i="1" s="1"/>
  <c r="CC201" i="1"/>
  <c r="W145" i="1"/>
  <c r="AE145" i="1"/>
  <c r="AF145" i="1"/>
  <c r="AQ145" i="1"/>
  <c r="AS145" i="1" s="1"/>
  <c r="BM145" i="1"/>
  <c r="BN145" i="1"/>
  <c r="BY145" i="1"/>
  <c r="BZ145" i="1" s="1"/>
  <c r="CA145" i="1"/>
  <c r="CB145" i="1" s="1"/>
  <c r="CC202" i="1"/>
  <c r="CC203" i="1"/>
  <c r="CC204" i="1"/>
  <c r="CC205" i="1"/>
  <c r="AE206" i="1"/>
  <c r="AG206" i="1" s="1"/>
  <c r="AQ206" i="1"/>
  <c r="AS206" i="1" s="1"/>
  <c r="CC206" i="1"/>
  <c r="BN146" i="1"/>
  <c r="CC146" i="1" s="1"/>
  <c r="CC207" i="1"/>
  <c r="CC208" i="1"/>
  <c r="BM209" i="1"/>
  <c r="BN209" i="1"/>
  <c r="BY209" i="1"/>
  <c r="BZ209" i="1" s="1"/>
  <c r="CA209" i="1"/>
  <c r="CB209" i="1" s="1"/>
  <c r="AE210" i="1"/>
  <c r="AG210" i="1" s="1"/>
  <c r="AQ210" i="1"/>
  <c r="AS210" i="1" s="1"/>
  <c r="CC210" i="1"/>
  <c r="CI85" i="1"/>
  <c r="CI15" i="1"/>
  <c r="AG126" i="1" l="1"/>
  <c r="AG112" i="1"/>
  <c r="CC160" i="1"/>
  <c r="AG164" i="1"/>
  <c r="AG111" i="1"/>
  <c r="AG138" i="1"/>
  <c r="AG141" i="1"/>
  <c r="AG130" i="1"/>
  <c r="AG132" i="1"/>
  <c r="AG94" i="1"/>
  <c r="AG99" i="1"/>
  <c r="CB164" i="1"/>
  <c r="AG108" i="1"/>
  <c r="AG115" i="1"/>
  <c r="AG160" i="1"/>
  <c r="CJ163" i="1"/>
  <c r="CC163" i="1"/>
  <c r="CB162" i="1"/>
  <c r="AG104" i="1"/>
  <c r="AG106" i="1"/>
  <c r="CC209" i="1"/>
  <c r="AG98" i="1"/>
  <c r="AG116" i="1"/>
  <c r="AG121" i="1"/>
  <c r="AG123" i="1"/>
  <c r="AG101" i="1"/>
  <c r="AG201" i="1"/>
  <c r="AG95" i="1"/>
  <c r="AG107" i="1"/>
  <c r="AG114" i="1"/>
  <c r="AG119" i="1"/>
  <c r="AG124" i="1"/>
  <c r="AG137" i="1"/>
  <c r="AG125" i="1"/>
  <c r="AG100" i="1"/>
  <c r="AG120" i="1"/>
  <c r="AG139" i="1"/>
  <c r="BN140" i="1"/>
  <c r="CC137" i="1"/>
  <c r="CJ137" i="1"/>
  <c r="CC100" i="1"/>
  <c r="AG135" i="1"/>
  <c r="CB135" i="1"/>
  <c r="AG133" i="1"/>
  <c r="AG128" i="1"/>
  <c r="AG134" i="1"/>
  <c r="CC132" i="1"/>
  <c r="CJ132" i="1"/>
  <c r="CC95" i="1"/>
  <c r="CJ95" i="1"/>
  <c r="CC114" i="1"/>
  <c r="CJ114" i="1"/>
  <c r="CJ107" i="1"/>
  <c r="CC107" i="1"/>
  <c r="CC125" i="1"/>
  <c r="CC139" i="1"/>
  <c r="CJ139" i="1"/>
  <c r="CC112" i="1"/>
  <c r="CJ112" i="1"/>
  <c r="CJ96" i="1"/>
  <c r="CC96" i="1"/>
  <c r="CJ145" i="1"/>
  <c r="CC145" i="1"/>
  <c r="CJ108" i="1"/>
  <c r="CC108" i="1"/>
  <c r="CB102" i="1"/>
  <c r="CB140" i="1"/>
  <c r="CB126" i="1"/>
  <c r="CJ125" i="1"/>
  <c r="CB97" i="1"/>
  <c r="CB141" i="1"/>
  <c r="BM125" i="1"/>
  <c r="CB133" i="1"/>
  <c r="CB130" i="1"/>
  <c r="CB115" i="1"/>
  <c r="CB101" i="1"/>
  <c r="CB116" i="1"/>
  <c r="CB127" i="1"/>
  <c r="CB136" i="1"/>
  <c r="CC136" i="1" s="1"/>
  <c r="CB128" i="1"/>
  <c r="CB99" i="1"/>
  <c r="CB111" i="1"/>
  <c r="CC111" i="1" s="1"/>
  <c r="CB119" i="1"/>
  <c r="CB104" i="1"/>
  <c r="CC104" i="1" s="1"/>
  <c r="CB110" i="1"/>
  <c r="CB138" i="1"/>
  <c r="CB118" i="1"/>
  <c r="CC118" i="1" s="1"/>
  <c r="CB98" i="1"/>
  <c r="CB106" i="1"/>
  <c r="CB121" i="1"/>
  <c r="CB123" i="1"/>
  <c r="CC123" i="1" s="1"/>
  <c r="AG145" i="1"/>
  <c r="AG169" i="1"/>
  <c r="AG195" i="1"/>
  <c r="CC181" i="1"/>
  <c r="CJ181" i="1"/>
  <c r="CJ195" i="1"/>
  <c r="CC195" i="1"/>
  <c r="AG142" i="1"/>
  <c r="CB169" i="1"/>
  <c r="CC169" i="1" s="1"/>
  <c r="CF37" i="1"/>
  <c r="CF50" i="1"/>
  <c r="CF56" i="1"/>
  <c r="CF63" i="1"/>
  <c r="CF68" i="1"/>
  <c r="CF78" i="1"/>
  <c r="CF85" i="1"/>
  <c r="CF89" i="1"/>
  <c r="CF93" i="1"/>
  <c r="CF229" i="1"/>
  <c r="CF14" i="1"/>
  <c r="CF15" i="1"/>
  <c r="CC164" i="1" l="1"/>
  <c r="CJ164" i="1"/>
  <c r="CC162" i="1"/>
  <c r="CJ162" i="1"/>
  <c r="CJ135" i="1"/>
  <c r="CC135" i="1"/>
  <c r="CC119" i="1"/>
  <c r="CJ119" i="1"/>
  <c r="CC130" i="1"/>
  <c r="CJ130" i="1"/>
  <c r="CC128" i="1"/>
  <c r="CJ128" i="1"/>
  <c r="CJ106" i="1"/>
  <c r="CC106" i="1"/>
  <c r="CC126" i="1"/>
  <c r="CJ126" i="1"/>
  <c r="CJ99" i="1"/>
  <c r="CC99" i="1"/>
  <c r="CC98" i="1"/>
  <c r="CJ98" i="1"/>
  <c r="CJ127" i="1"/>
  <c r="CC127" i="1"/>
  <c r="CC115" i="1"/>
  <c r="CJ115" i="1"/>
  <c r="CC133" i="1"/>
  <c r="CJ133" i="1"/>
  <c r="CC116" i="1"/>
  <c r="CJ116" i="1"/>
  <c r="CJ141" i="1"/>
  <c r="CC141" i="1"/>
  <c r="CJ138" i="1"/>
  <c r="CC138" i="1"/>
  <c r="CC110" i="1"/>
  <c r="CJ110" i="1"/>
  <c r="CJ140" i="1"/>
  <c r="CC140" i="1"/>
  <c r="CC102" i="1"/>
  <c r="CJ102" i="1"/>
  <c r="CJ121" i="1"/>
  <c r="CC121" i="1"/>
  <c r="CC101" i="1"/>
  <c r="CJ101" i="1"/>
  <c r="CJ97" i="1"/>
  <c r="CC97" i="1"/>
  <c r="CJ169" i="1"/>
  <c r="BI15" i="1" l="1"/>
  <c r="AF14" i="1" l="1"/>
  <c r="AE14" i="1"/>
  <c r="BL6" i="1" l="1"/>
  <c r="AQ6" i="1"/>
  <c r="AS6" i="1" s="1"/>
  <c r="AF5" i="1"/>
  <c r="W6" i="1" l="1"/>
  <c r="W8" i="1"/>
  <c r="W11" i="1"/>
  <c r="W14" i="1"/>
  <c r="W18" i="1"/>
  <c r="W21" i="1"/>
  <c r="W22" i="1"/>
  <c r="W23" i="1"/>
  <c r="W24" i="1"/>
  <c r="W26" i="1"/>
  <c r="W27" i="1"/>
  <c r="W29" i="1"/>
  <c r="W30" i="1"/>
  <c r="W31" i="1"/>
  <c r="W32" i="1"/>
  <c r="W34" i="1"/>
  <c r="W35" i="1"/>
  <c r="W36" i="1"/>
  <c r="W37" i="1"/>
  <c r="W38" i="1"/>
  <c r="W39" i="1"/>
  <c r="W40" i="1"/>
  <c r="W41" i="1"/>
  <c r="W44" i="1"/>
  <c r="W45" i="1"/>
  <c r="W46" i="1"/>
  <c r="W47" i="1"/>
  <c r="W48" i="1"/>
  <c r="W49" i="1"/>
  <c r="W50" i="1"/>
  <c r="W53" i="1"/>
  <c r="W54" i="1"/>
  <c r="W55" i="1"/>
  <c r="W56" i="1"/>
  <c r="W58" i="1"/>
  <c r="W59" i="1"/>
  <c r="W60" i="1"/>
  <c r="W63" i="1"/>
  <c r="W64" i="1"/>
  <c r="W65" i="1"/>
  <c r="W67" i="1"/>
  <c r="W68" i="1"/>
  <c r="W69" i="1"/>
  <c r="W70" i="1"/>
  <c r="W73" i="1"/>
  <c r="W74" i="1"/>
  <c r="W75" i="1"/>
  <c r="W77" i="1"/>
  <c r="W78" i="1"/>
  <c r="W81" i="1"/>
  <c r="W84" i="1"/>
  <c r="W85" i="1"/>
  <c r="W86" i="1"/>
  <c r="W89" i="1"/>
  <c r="W148" i="1"/>
  <c r="W151" i="1"/>
  <c r="W157" i="1"/>
  <c r="W216" i="1"/>
  <c r="W229" i="1"/>
  <c r="W254" i="1"/>
  <c r="W299" i="1"/>
  <c r="W310" i="1"/>
  <c r="W335" i="1"/>
  <c r="W345" i="1"/>
  <c r="AS4" i="1" l="1"/>
  <c r="AR4" i="1"/>
  <c r="AF15" i="1"/>
  <c r="AE15" i="1"/>
  <c r="AR5" i="1" l="1"/>
  <c r="AR6" i="1"/>
  <c r="AQ5" i="1"/>
  <c r="AS5" i="1" s="1"/>
  <c r="BN11" i="1"/>
  <c r="BY4" i="1"/>
  <c r="BN4" i="1" l="1"/>
  <c r="AF65" i="1" l="1"/>
  <c r="AF18" i="1"/>
  <c r="AF19" i="1"/>
  <c r="AF21" i="1"/>
  <c r="AF22" i="1"/>
  <c r="AF23" i="1"/>
  <c r="AF24" i="1"/>
  <c r="AF25" i="1"/>
  <c r="AF26" i="1"/>
  <c r="AF27" i="1"/>
  <c r="AF29" i="1"/>
  <c r="AF30" i="1"/>
  <c r="AF31" i="1"/>
  <c r="AF32" i="1"/>
  <c r="AF34" i="1"/>
  <c r="AF35" i="1"/>
  <c r="AF36" i="1"/>
  <c r="AF37" i="1"/>
  <c r="AF38" i="1"/>
  <c r="AF39" i="1"/>
  <c r="AF40" i="1"/>
  <c r="AF41" i="1"/>
  <c r="AF43" i="1"/>
  <c r="AF44" i="1"/>
  <c r="AF45" i="1"/>
  <c r="AF46" i="1"/>
  <c r="AF47" i="1"/>
  <c r="AF48" i="1"/>
  <c r="AF49" i="1"/>
  <c r="AF50" i="1"/>
  <c r="AF53" i="1"/>
  <c r="AF54" i="1"/>
  <c r="AF55" i="1"/>
  <c r="AF56" i="1"/>
  <c r="AF58" i="1"/>
  <c r="AF59" i="1"/>
  <c r="AF60" i="1"/>
  <c r="AF63" i="1"/>
  <c r="AF64" i="1"/>
  <c r="AF67" i="1"/>
  <c r="AF68" i="1"/>
  <c r="AF69" i="1"/>
  <c r="AF70" i="1"/>
  <c r="AF73" i="1"/>
  <c r="AF74" i="1"/>
  <c r="AF75" i="1"/>
  <c r="AF76" i="1"/>
  <c r="AF77" i="1"/>
  <c r="AF78" i="1"/>
  <c r="AF81" i="1"/>
  <c r="AF84" i="1"/>
  <c r="AF85" i="1"/>
  <c r="AF86" i="1"/>
  <c r="AF87" i="1"/>
  <c r="AF89" i="1"/>
  <c r="AF92" i="1"/>
  <c r="AF93" i="1"/>
  <c r="AF148" i="1"/>
  <c r="AF151" i="1"/>
  <c r="AF154" i="1"/>
  <c r="AF157" i="1"/>
  <c r="AF216" i="1"/>
  <c r="AF226" i="1"/>
  <c r="AF229" i="1"/>
  <c r="AF230" i="1"/>
  <c r="AF235" i="1"/>
  <c r="AF246" i="1"/>
  <c r="AF254" i="1"/>
  <c r="AF299" i="1"/>
  <c r="AF310" i="1"/>
  <c r="AF335" i="1"/>
  <c r="AF345" i="1"/>
  <c r="AF391" i="1"/>
  <c r="AF422" i="1"/>
  <c r="AF426" i="1"/>
  <c r="AF6" i="1"/>
  <c r="AF7" i="1"/>
  <c r="AF8" i="1"/>
  <c r="AF9" i="1"/>
  <c r="AF11" i="1"/>
  <c r="AF12" i="1"/>
  <c r="AF4" i="1"/>
  <c r="AG4" i="1" s="1"/>
  <c r="AE6" i="1"/>
  <c r="CC431" i="1" l="1"/>
  <c r="CC430" i="1"/>
  <c r="AQ430" i="1"/>
  <c r="AE430" i="1"/>
  <c r="AG430" i="1" s="1"/>
  <c r="CC429" i="1"/>
  <c r="AQ429" i="1"/>
  <c r="AS429" i="1" s="1"/>
  <c r="AE429" i="1"/>
  <c r="AG429" i="1" s="1"/>
  <c r="CA428" i="1"/>
  <c r="BY428" i="1"/>
  <c r="BZ428" i="1" s="1"/>
  <c r="BN428" i="1"/>
  <c r="BM428" i="1"/>
  <c r="CC427" i="1"/>
  <c r="CA426" i="1"/>
  <c r="BN426" i="1"/>
  <c r="BL426" i="1"/>
  <c r="AQ426" i="1"/>
  <c r="AE426" i="1"/>
  <c r="CC425" i="1"/>
  <c r="AR425" i="1"/>
  <c r="AQ425" i="1"/>
  <c r="AS425" i="1" s="1"/>
  <c r="AE425" i="1"/>
  <c r="AG425" i="1" s="1"/>
  <c r="CC424" i="1"/>
  <c r="CC423" i="1"/>
  <c r="CC422" i="1"/>
  <c r="AQ422" i="1"/>
  <c r="AE422" i="1"/>
  <c r="AG422" i="1" s="1"/>
  <c r="CC421" i="1"/>
  <c r="AQ421" i="1"/>
  <c r="AS421" i="1" s="1"/>
  <c r="AE421" i="1"/>
  <c r="AG421" i="1" s="1"/>
  <c r="CC420" i="1"/>
  <c r="AQ420" i="1"/>
  <c r="AE420" i="1"/>
  <c r="AG420" i="1" s="1"/>
  <c r="CC419" i="1"/>
  <c r="CC418" i="1"/>
  <c r="AQ418" i="1"/>
  <c r="AE418" i="1"/>
  <c r="AG418" i="1" s="1"/>
  <c r="CC417" i="1"/>
  <c r="CC416" i="1"/>
  <c r="AQ416" i="1"/>
  <c r="AS416" i="1" s="1"/>
  <c r="AE416" i="1"/>
  <c r="AG416" i="1" s="1"/>
  <c r="CC415" i="1"/>
  <c r="CC414" i="1"/>
  <c r="AQ414" i="1"/>
  <c r="AE414" i="1"/>
  <c r="AG414" i="1" s="1"/>
  <c r="BN413" i="1"/>
  <c r="CC413" i="1" s="1"/>
  <c r="BM413" i="1"/>
  <c r="CC412" i="1"/>
  <c r="BN411" i="1"/>
  <c r="CC411" i="1" s="1"/>
  <c r="BM411" i="1"/>
  <c r="CC410" i="1"/>
  <c r="CC409" i="1"/>
  <c r="BN408" i="1"/>
  <c r="CC408" i="1" s="1"/>
  <c r="BM408" i="1"/>
  <c r="AQ408" i="1"/>
  <c r="AE408" i="1"/>
  <c r="AG408" i="1" s="1"/>
  <c r="BN407" i="1"/>
  <c r="CC407" i="1" s="1"/>
  <c r="BM407" i="1"/>
  <c r="AQ407" i="1"/>
  <c r="AE407" i="1"/>
  <c r="AG407" i="1" s="1"/>
  <c r="CC406" i="1"/>
  <c r="AQ406" i="1"/>
  <c r="AS406" i="1" s="1"/>
  <c r="AE406" i="1"/>
  <c r="AG406" i="1" s="1"/>
  <c r="BN405" i="1"/>
  <c r="CC405" i="1" s="1"/>
  <c r="BM405" i="1"/>
  <c r="AQ405" i="1"/>
  <c r="AE405" i="1"/>
  <c r="AG405" i="1" s="1"/>
  <c r="BN404" i="1"/>
  <c r="CC404" i="1" s="1"/>
  <c r="BM404" i="1"/>
  <c r="AQ404" i="1"/>
  <c r="AE404" i="1"/>
  <c r="AG404" i="1" s="1"/>
  <c r="BN403" i="1"/>
  <c r="CC403" i="1" s="1"/>
  <c r="BM403" i="1"/>
  <c r="AQ403" i="1"/>
  <c r="AS403" i="1" s="1"/>
  <c r="AE403" i="1"/>
  <c r="AG403" i="1" s="1"/>
  <c r="CC402" i="1"/>
  <c r="BN401" i="1"/>
  <c r="CC401" i="1" s="1"/>
  <c r="BM401" i="1"/>
  <c r="CC400" i="1"/>
  <c r="CC399" i="1"/>
  <c r="CC398" i="1"/>
  <c r="AQ398" i="1"/>
  <c r="AS398" i="1" s="1"/>
  <c r="AE398" i="1"/>
  <c r="AG398" i="1" s="1"/>
  <c r="CC397" i="1"/>
  <c r="AQ397" i="1"/>
  <c r="AS397" i="1" s="1"/>
  <c r="AE397" i="1"/>
  <c r="AG397" i="1" s="1"/>
  <c r="CC396" i="1"/>
  <c r="AQ396" i="1"/>
  <c r="AE396" i="1"/>
  <c r="AG396" i="1" s="1"/>
  <c r="BN395" i="1"/>
  <c r="CC395" i="1" s="1"/>
  <c r="BM395" i="1"/>
  <c r="AQ395" i="1"/>
  <c r="AE395" i="1"/>
  <c r="AG395" i="1" s="1"/>
  <c r="BN394" i="1"/>
  <c r="CC394" i="1" s="1"/>
  <c r="BM394" i="1"/>
  <c r="BN393" i="1"/>
  <c r="CC393" i="1" s="1"/>
  <c r="BM393" i="1"/>
  <c r="CC392" i="1"/>
  <c r="AQ392" i="1"/>
  <c r="AE392" i="1"/>
  <c r="AG392" i="1" s="1"/>
  <c r="CA391" i="1"/>
  <c r="BY391" i="1"/>
  <c r="BZ391" i="1" s="1"/>
  <c r="BN391" i="1"/>
  <c r="BM391" i="1"/>
  <c r="CC390" i="1"/>
  <c r="CC389" i="1"/>
  <c r="CC388" i="1"/>
  <c r="CA387" i="1"/>
  <c r="BY387" i="1"/>
  <c r="BZ387" i="1" s="1"/>
  <c r="BN387" i="1"/>
  <c r="BM387" i="1"/>
  <c r="BN386" i="1"/>
  <c r="CC386" i="1" s="1"/>
  <c r="BM386" i="1"/>
  <c r="AQ386" i="1"/>
  <c r="AE386" i="1"/>
  <c r="AG386" i="1" s="1"/>
  <c r="BI385" i="1"/>
  <c r="BM385" i="1" s="1"/>
  <c r="BN384" i="1"/>
  <c r="CC384" i="1" s="1"/>
  <c r="BM384" i="1"/>
  <c r="CA383" i="1"/>
  <c r="BY383" i="1"/>
  <c r="BZ383" i="1" s="1"/>
  <c r="BI383" i="1"/>
  <c r="BN383" i="1" s="1"/>
  <c r="AQ383" i="1"/>
  <c r="AE383" i="1"/>
  <c r="AG383" i="1" s="1"/>
  <c r="CC382" i="1"/>
  <c r="CC381" i="1"/>
  <c r="CC380" i="1"/>
  <c r="CC379" i="1"/>
  <c r="AQ379" i="1"/>
  <c r="AE379" i="1"/>
  <c r="AG379" i="1" s="1"/>
  <c r="BN378" i="1"/>
  <c r="CC378" i="1" s="1"/>
  <c r="BM378" i="1"/>
  <c r="AQ378" i="1"/>
  <c r="AE378" i="1"/>
  <c r="AG378" i="1" s="1"/>
  <c r="BN377" i="1"/>
  <c r="CC377" i="1" s="1"/>
  <c r="BM377" i="1"/>
  <c r="CC376" i="1"/>
  <c r="AQ376" i="1"/>
  <c r="AE376" i="1"/>
  <c r="AG376" i="1" s="1"/>
  <c r="CC375" i="1"/>
  <c r="AQ375" i="1"/>
  <c r="AE375" i="1"/>
  <c r="AG375" i="1" s="1"/>
  <c r="CC374" i="1"/>
  <c r="CC373" i="1"/>
  <c r="CA372" i="1"/>
  <c r="BY372" i="1"/>
  <c r="BN372" i="1"/>
  <c r="BM372" i="1"/>
  <c r="AQ372" i="1"/>
  <c r="AS372" i="1" s="1"/>
  <c r="AE372" i="1"/>
  <c r="AG372" i="1" s="1"/>
  <c r="CC371" i="1"/>
  <c r="AQ371" i="1"/>
  <c r="AS371" i="1" s="1"/>
  <c r="AE371" i="1"/>
  <c r="AG371" i="1" s="1"/>
  <c r="CC370" i="1"/>
  <c r="BN369" i="1"/>
  <c r="CC369" i="1" s="1"/>
  <c r="BM369" i="1"/>
  <c r="AQ369" i="1"/>
  <c r="AE369" i="1"/>
  <c r="AG369" i="1" s="1"/>
  <c r="BN368" i="1"/>
  <c r="CC368" i="1" s="1"/>
  <c r="BM368" i="1"/>
  <c r="BN367" i="1"/>
  <c r="CC367" i="1" s="1"/>
  <c r="BM367" i="1"/>
  <c r="AQ367" i="1"/>
  <c r="AE367" i="1"/>
  <c r="AG367" i="1" s="1"/>
  <c r="CC366" i="1"/>
  <c r="CC365" i="1"/>
  <c r="CC364" i="1"/>
  <c r="AQ364" i="1"/>
  <c r="AS364" i="1" s="1"/>
  <c r="AE364" i="1"/>
  <c r="AG364" i="1" s="1"/>
  <c r="CC363" i="1"/>
  <c r="AQ363" i="1"/>
  <c r="AE363" i="1"/>
  <c r="AG363" i="1" s="1"/>
  <c r="CC362" i="1"/>
  <c r="CC361" i="1"/>
  <c r="CC360" i="1"/>
  <c r="AQ360" i="1"/>
  <c r="AS360" i="1" s="1"/>
  <c r="AE360" i="1"/>
  <c r="AG360" i="1" s="1"/>
  <c r="CC359" i="1"/>
  <c r="AQ359" i="1"/>
  <c r="AS359" i="1" s="1"/>
  <c r="AE359" i="1"/>
  <c r="AG359" i="1" s="1"/>
  <c r="CC358" i="1"/>
  <c r="AQ358" i="1"/>
  <c r="AE358" i="1"/>
  <c r="AG358" i="1" s="1"/>
  <c r="BN357" i="1"/>
  <c r="CC357" i="1" s="1"/>
  <c r="BM357" i="1"/>
  <c r="AQ357" i="1"/>
  <c r="AE357" i="1"/>
  <c r="AG357" i="1" s="1"/>
  <c r="CC356" i="1"/>
  <c r="AQ356" i="1"/>
  <c r="AE356" i="1"/>
  <c r="AG356" i="1" s="1"/>
  <c r="CC355" i="1"/>
  <c r="AQ355" i="1"/>
  <c r="AS355" i="1" s="1"/>
  <c r="AE355" i="1"/>
  <c r="AG355" i="1" s="1"/>
  <c r="CC354" i="1"/>
  <c r="AQ354" i="1"/>
  <c r="AS354" i="1" s="1"/>
  <c r="AE354" i="1"/>
  <c r="AG354" i="1" s="1"/>
  <c r="CC353" i="1"/>
  <c r="CC352" i="1"/>
  <c r="AQ352" i="1"/>
  <c r="AE352" i="1"/>
  <c r="AG352" i="1" s="1"/>
  <c r="CC351" i="1"/>
  <c r="CC350" i="1"/>
  <c r="CC349" i="1"/>
  <c r="CC348" i="1"/>
  <c r="CC347" i="1"/>
  <c r="CC346" i="1"/>
  <c r="AQ346" i="1"/>
  <c r="AE346" i="1"/>
  <c r="AG346" i="1" s="1"/>
  <c r="CA345" i="1"/>
  <c r="BY345" i="1"/>
  <c r="BN345" i="1"/>
  <c r="BM345" i="1"/>
  <c r="AQ345" i="1"/>
  <c r="AE345" i="1"/>
  <c r="CC344" i="1"/>
  <c r="BN343" i="1"/>
  <c r="CC343" i="1" s="1"/>
  <c r="AQ343" i="1"/>
  <c r="AE343" i="1"/>
  <c r="AG343" i="1" s="1"/>
  <c r="BN342" i="1"/>
  <c r="CC342" i="1" s="1"/>
  <c r="AQ342" i="1"/>
  <c r="AS342" i="1" s="1"/>
  <c r="AE342" i="1"/>
  <c r="AG342" i="1" s="1"/>
  <c r="CC341" i="1"/>
  <c r="CC340" i="1"/>
  <c r="CC339" i="1"/>
  <c r="BN338" i="1"/>
  <c r="CC338" i="1" s="1"/>
  <c r="BM338" i="1"/>
  <c r="AQ338" i="1"/>
  <c r="AE338" i="1"/>
  <c r="AG338" i="1" s="1"/>
  <c r="BN337" i="1"/>
  <c r="CC337" i="1" s="1"/>
  <c r="BM337" i="1"/>
  <c r="CC336" i="1"/>
  <c r="CA335" i="1"/>
  <c r="BY335" i="1"/>
  <c r="BN335" i="1"/>
  <c r="BM335" i="1"/>
  <c r="AQ335" i="1"/>
  <c r="AE335" i="1"/>
  <c r="BN334" i="1"/>
  <c r="CC334" i="1" s="1"/>
  <c r="BM334" i="1"/>
  <c r="BN333" i="1"/>
  <c r="CC333" i="1" s="1"/>
  <c r="BM333" i="1"/>
  <c r="AQ333" i="1"/>
  <c r="AE333" i="1"/>
  <c r="AG333" i="1" s="1"/>
  <c r="CC332" i="1"/>
  <c r="BN331" i="1"/>
  <c r="CC331" i="1" s="1"/>
  <c r="BM331" i="1"/>
  <c r="AQ331" i="1"/>
  <c r="AE331" i="1"/>
  <c r="AG331" i="1" s="1"/>
  <c r="CC330" i="1"/>
  <c r="AQ330" i="1"/>
  <c r="AE330" i="1"/>
  <c r="AG330" i="1" s="1"/>
  <c r="CC329" i="1"/>
  <c r="CC328" i="1"/>
  <c r="CA327" i="1"/>
  <c r="BY327" i="1"/>
  <c r="BZ327" i="1" s="1"/>
  <c r="BN327" i="1"/>
  <c r="BM327" i="1"/>
  <c r="CA326" i="1"/>
  <c r="BN326" i="1"/>
  <c r="BM326" i="1"/>
  <c r="AQ326" i="1"/>
  <c r="AE326" i="1"/>
  <c r="AG326" i="1" s="1"/>
  <c r="CC325" i="1"/>
  <c r="CC324" i="1"/>
  <c r="CA323" i="1"/>
  <c r="BY323" i="1"/>
  <c r="BZ323" i="1" s="1"/>
  <c r="BN323" i="1"/>
  <c r="BM323" i="1"/>
  <c r="AQ323" i="1"/>
  <c r="AE323" i="1"/>
  <c r="AG323" i="1" s="1"/>
  <c r="CC322" i="1"/>
  <c r="AQ322" i="1"/>
  <c r="AE322" i="1"/>
  <c r="AG322" i="1" s="1"/>
  <c r="BN321" i="1"/>
  <c r="CC321" i="1" s="1"/>
  <c r="BM321" i="1"/>
  <c r="BN320" i="1"/>
  <c r="CC320" i="1" s="1"/>
  <c r="BM320" i="1"/>
  <c r="AQ320" i="1"/>
  <c r="AE320" i="1"/>
  <c r="AG320" i="1" s="1"/>
  <c r="CA319" i="1"/>
  <c r="BY319" i="1"/>
  <c r="BN319" i="1"/>
  <c r="BM319" i="1"/>
  <c r="BL319" i="1"/>
  <c r="AQ319" i="1"/>
  <c r="AE319" i="1"/>
  <c r="AG319" i="1" s="1"/>
  <c r="CC318" i="1"/>
  <c r="CC317" i="1"/>
  <c r="AQ317" i="1"/>
  <c r="AE317" i="1"/>
  <c r="AG317" i="1" s="1"/>
  <c r="CC316" i="1"/>
  <c r="AQ316" i="1"/>
  <c r="AE316" i="1"/>
  <c r="AG316" i="1" s="1"/>
  <c r="BN315" i="1"/>
  <c r="CC315" i="1" s="1"/>
  <c r="BM315" i="1"/>
  <c r="AQ315" i="1"/>
  <c r="AE315" i="1"/>
  <c r="AG315" i="1" s="1"/>
  <c r="BN314" i="1"/>
  <c r="CC314" i="1" s="1"/>
  <c r="BM314" i="1"/>
  <c r="AQ314" i="1"/>
  <c r="AE314" i="1"/>
  <c r="AG314" i="1" s="1"/>
  <c r="CC313" i="1"/>
  <c r="AQ313" i="1"/>
  <c r="AE313" i="1"/>
  <c r="AG313" i="1" s="1"/>
  <c r="CC312" i="1"/>
  <c r="CC311" i="1"/>
  <c r="CA310" i="1"/>
  <c r="BY310" i="1"/>
  <c r="BN310" i="1"/>
  <c r="BM310" i="1"/>
  <c r="AS310" i="1"/>
  <c r="AR310" i="1"/>
  <c r="CC309" i="1"/>
  <c r="BN308" i="1"/>
  <c r="CC308" i="1" s="1"/>
  <c r="BM308" i="1"/>
  <c r="AQ308" i="1"/>
  <c r="AE308" i="1"/>
  <c r="AG308" i="1" s="1"/>
  <c r="CC307" i="1"/>
  <c r="AQ307" i="1"/>
  <c r="AE307" i="1"/>
  <c r="AG307" i="1" s="1"/>
  <c r="CC306" i="1"/>
  <c r="BN305" i="1"/>
  <c r="CC305" i="1" s="1"/>
  <c r="BM305" i="1"/>
  <c r="CC304" i="1"/>
  <c r="AQ304" i="1"/>
  <c r="AE304" i="1"/>
  <c r="AG304" i="1" s="1"/>
  <c r="CC303" i="1"/>
  <c r="AQ303" i="1"/>
  <c r="AE303" i="1"/>
  <c r="AG303" i="1" s="1"/>
  <c r="CA302" i="1"/>
  <c r="BY302" i="1"/>
  <c r="BN302" i="1"/>
  <c r="BM302" i="1"/>
  <c r="AQ302" i="1"/>
  <c r="AE302" i="1"/>
  <c r="AG302" i="1" s="1"/>
  <c r="CC301" i="1"/>
  <c r="BN300" i="1"/>
  <c r="CC300" i="1" s="1"/>
  <c r="BM300" i="1"/>
  <c r="CA299" i="1"/>
  <c r="BY299" i="1"/>
  <c r="BN299" i="1"/>
  <c r="BM299" i="1"/>
  <c r="AR299" i="1"/>
  <c r="AQ299" i="1"/>
  <c r="AE299" i="1"/>
  <c r="BN298" i="1"/>
  <c r="CC298" i="1" s="1"/>
  <c r="BM298" i="1"/>
  <c r="CC297" i="1"/>
  <c r="AQ297" i="1"/>
  <c r="AE297" i="1"/>
  <c r="AG297" i="1" s="1"/>
  <c r="CC296" i="1"/>
  <c r="CA295" i="1"/>
  <c r="BY295" i="1"/>
  <c r="BZ295" i="1" s="1"/>
  <c r="BN295" i="1"/>
  <c r="BM295" i="1"/>
  <c r="AQ295" i="1"/>
  <c r="AE295" i="1"/>
  <c r="AG295" i="1" s="1"/>
  <c r="CC294" i="1"/>
  <c r="AQ294" i="1"/>
  <c r="AE294" i="1"/>
  <c r="AG294" i="1" s="1"/>
  <c r="CC293" i="1"/>
  <c r="CC292" i="1"/>
  <c r="CC291" i="1"/>
  <c r="AQ291" i="1"/>
  <c r="AE291" i="1"/>
  <c r="AG291" i="1" s="1"/>
  <c r="CC290" i="1"/>
  <c r="AQ290" i="1"/>
  <c r="AE290" i="1"/>
  <c r="AG290" i="1" s="1"/>
  <c r="BN289" i="1"/>
  <c r="CC289" i="1" s="1"/>
  <c r="BM289" i="1"/>
  <c r="AQ289" i="1"/>
  <c r="AE289" i="1"/>
  <c r="AG289" i="1" s="1"/>
  <c r="BN288" i="1"/>
  <c r="CC288" i="1" s="1"/>
  <c r="BM288" i="1"/>
  <c r="BN287" i="1"/>
  <c r="CC287" i="1" s="1"/>
  <c r="BM287" i="1"/>
  <c r="CC286" i="1"/>
  <c r="CC285" i="1"/>
  <c r="CC284" i="1"/>
  <c r="CC283" i="1"/>
  <c r="CC282" i="1"/>
  <c r="CC281" i="1"/>
  <c r="CC280" i="1"/>
  <c r="CC279" i="1"/>
  <c r="BN278" i="1"/>
  <c r="CC278" i="1" s="1"/>
  <c r="BM278" i="1"/>
  <c r="CC277" i="1"/>
  <c r="CC276" i="1"/>
  <c r="CA275" i="1"/>
  <c r="BY275" i="1"/>
  <c r="BZ275" i="1" s="1"/>
  <c r="BN275" i="1"/>
  <c r="BM275" i="1"/>
  <c r="CC274" i="1"/>
  <c r="CC273" i="1"/>
  <c r="BN272" i="1"/>
  <c r="CC272" i="1" s="1"/>
  <c r="BM272" i="1"/>
  <c r="AQ272" i="1"/>
  <c r="AE272" i="1"/>
  <c r="AG272" i="1" s="1"/>
  <c r="BN271" i="1"/>
  <c r="CC271" i="1" s="1"/>
  <c r="BM271" i="1"/>
  <c r="AE271" i="1"/>
  <c r="AG271" i="1" s="1"/>
  <c r="CC270" i="1"/>
  <c r="BN269" i="1"/>
  <c r="CC269" i="1" s="1"/>
  <c r="BM269" i="1"/>
  <c r="AQ269" i="1"/>
  <c r="AS269" i="1" s="1"/>
  <c r="AE269" i="1"/>
  <c r="AG269" i="1" s="1"/>
  <c r="BN268" i="1"/>
  <c r="CC268" i="1" s="1"/>
  <c r="BM268" i="1"/>
  <c r="AQ268" i="1"/>
  <c r="AS268" i="1" s="1"/>
  <c r="AE268" i="1"/>
  <c r="AG268" i="1" s="1"/>
  <c r="BI267" i="1"/>
  <c r="BN267" i="1" s="1"/>
  <c r="CC267" i="1" s="1"/>
  <c r="CC266" i="1"/>
  <c r="CC265" i="1"/>
  <c r="CC264" i="1"/>
  <c r="CC263" i="1"/>
  <c r="CC262" i="1"/>
  <c r="CC261" i="1"/>
  <c r="CC260" i="1"/>
  <c r="AQ260" i="1"/>
  <c r="AE260" i="1"/>
  <c r="AG260" i="1" s="1"/>
  <c r="CC259" i="1"/>
  <c r="CC258" i="1"/>
  <c r="AQ258" i="1"/>
  <c r="AE258" i="1"/>
  <c r="AG258" i="1" s="1"/>
  <c r="CC257" i="1"/>
  <c r="AE257" i="1"/>
  <c r="AG257" i="1" s="1"/>
  <c r="CC256" i="1"/>
  <c r="CC255" i="1"/>
  <c r="CA254" i="1"/>
  <c r="BY254" i="1"/>
  <c r="BN254" i="1"/>
  <c r="BM254" i="1"/>
  <c r="AQ254" i="1"/>
  <c r="AE254" i="1"/>
  <c r="BN253" i="1"/>
  <c r="CC253" i="1" s="1"/>
  <c r="BM253" i="1"/>
  <c r="CC252" i="1"/>
  <c r="CC251" i="1"/>
  <c r="BN250" i="1"/>
  <c r="CC250" i="1" s="1"/>
  <c r="BM250" i="1"/>
  <c r="AQ250" i="1"/>
  <c r="AS250" i="1" s="1"/>
  <c r="AE250" i="1"/>
  <c r="AG250" i="1" s="1"/>
  <c r="CA249" i="1"/>
  <c r="BY249" i="1"/>
  <c r="BZ249" i="1" s="1"/>
  <c r="BN249" i="1"/>
  <c r="BM249" i="1"/>
  <c r="AQ249" i="1"/>
  <c r="AS249" i="1" s="1"/>
  <c r="AE249" i="1"/>
  <c r="AG249" i="1" s="1"/>
  <c r="BN248" i="1"/>
  <c r="CC248" i="1" s="1"/>
  <c r="BM248" i="1"/>
  <c r="CA247" i="1"/>
  <c r="BN247" i="1"/>
  <c r="BL247" i="1"/>
  <c r="AQ247" i="1"/>
  <c r="AE247" i="1"/>
  <c r="AG247" i="1" s="1"/>
  <c r="CA246" i="1"/>
  <c r="BY246" i="1"/>
  <c r="BZ246" i="1" s="1"/>
  <c r="BN246" i="1"/>
  <c r="BM246" i="1"/>
  <c r="AQ246" i="1"/>
  <c r="AE246" i="1"/>
  <c r="CC245" i="1"/>
  <c r="AQ245" i="1"/>
  <c r="AE245" i="1"/>
  <c r="AG245" i="1" s="1"/>
  <c r="BN244" i="1"/>
  <c r="CC244" i="1" s="1"/>
  <c r="BM244" i="1"/>
  <c r="CC243" i="1"/>
  <c r="BN242" i="1"/>
  <c r="CC242" i="1" s="1"/>
  <c r="BM242" i="1"/>
  <c r="AQ242" i="1"/>
  <c r="AE242" i="1"/>
  <c r="AG242" i="1" s="1"/>
  <c r="BN241" i="1"/>
  <c r="CC241" i="1" s="1"/>
  <c r="BM241" i="1"/>
  <c r="BI240" i="1"/>
  <c r="BM240" i="1" s="1"/>
  <c r="AQ240" i="1"/>
  <c r="AS240" i="1" s="1"/>
  <c r="AE240" i="1"/>
  <c r="AG240" i="1" s="1"/>
  <c r="CC239" i="1"/>
  <c r="AQ239" i="1"/>
  <c r="AS239" i="1" s="1"/>
  <c r="AE239" i="1"/>
  <c r="AG239" i="1" s="1"/>
  <c r="BN238" i="1"/>
  <c r="CC238" i="1" s="1"/>
  <c r="BM238" i="1"/>
  <c r="AQ238" i="1"/>
  <c r="AE238" i="1"/>
  <c r="AG238" i="1" s="1"/>
  <c r="BN237" i="1"/>
  <c r="CC237" i="1" s="1"/>
  <c r="BM237" i="1"/>
  <c r="AQ237" i="1"/>
  <c r="AE237" i="1"/>
  <c r="AG237" i="1" s="1"/>
  <c r="BN236" i="1"/>
  <c r="CC236" i="1" s="1"/>
  <c r="BM236" i="1"/>
  <c r="BN235" i="1"/>
  <c r="CC235" i="1" s="1"/>
  <c r="BM235" i="1"/>
  <c r="AR235" i="1"/>
  <c r="AQ235" i="1"/>
  <c r="AE235" i="1"/>
  <c r="CA234" i="1"/>
  <c r="BY234" i="1"/>
  <c r="BN234" i="1"/>
  <c r="BM234" i="1"/>
  <c r="AQ234" i="1"/>
  <c r="AE234" i="1"/>
  <c r="AG234" i="1" s="1"/>
  <c r="CC233" i="1"/>
  <c r="CC232" i="1"/>
  <c r="AQ232" i="1"/>
  <c r="AE232" i="1"/>
  <c r="AG232" i="1" s="1"/>
  <c r="BN231" i="1"/>
  <c r="CC231" i="1" s="1"/>
  <c r="BM231" i="1"/>
  <c r="CA230" i="1"/>
  <c r="BY230" i="1"/>
  <c r="BN230" i="1"/>
  <c r="BM230" i="1"/>
  <c r="AS230" i="1"/>
  <c r="AR230" i="1"/>
  <c r="AG230" i="1"/>
  <c r="CA229" i="1"/>
  <c r="BY229" i="1"/>
  <c r="BN229" i="1"/>
  <c r="BM229" i="1"/>
  <c r="AR229" i="1"/>
  <c r="AQ229" i="1"/>
  <c r="AE229" i="1"/>
  <c r="CC228" i="1"/>
  <c r="BN227" i="1"/>
  <c r="CC227" i="1" s="1"/>
  <c r="BM227" i="1"/>
  <c r="AQ227" i="1"/>
  <c r="AE227" i="1"/>
  <c r="AG227" i="1" s="1"/>
  <c r="BN226" i="1"/>
  <c r="CC226" i="1" s="1"/>
  <c r="BM226" i="1"/>
  <c r="AQ226" i="1"/>
  <c r="AE226" i="1"/>
  <c r="BN225" i="1"/>
  <c r="CC225" i="1" s="1"/>
  <c r="BM225" i="1"/>
  <c r="AQ225" i="1"/>
  <c r="AE225" i="1"/>
  <c r="AG225" i="1" s="1"/>
  <c r="CC224" i="1"/>
  <c r="AE224" i="1"/>
  <c r="AG224" i="1" s="1"/>
  <c r="CA223" i="1"/>
  <c r="BY223" i="1"/>
  <c r="BZ223" i="1" s="1"/>
  <c r="BN223" i="1"/>
  <c r="BM223" i="1"/>
  <c r="AQ223" i="1"/>
  <c r="AE223" i="1"/>
  <c r="AG223" i="1" s="1"/>
  <c r="CC222" i="1"/>
  <c r="CC221" i="1"/>
  <c r="AQ221" i="1"/>
  <c r="AE221" i="1"/>
  <c r="AG221" i="1" s="1"/>
  <c r="CC220" i="1"/>
  <c r="CC219" i="1"/>
  <c r="AE219" i="1"/>
  <c r="AG219" i="1" s="1"/>
  <c r="CC218" i="1"/>
  <c r="CC217" i="1"/>
  <c r="CA216" i="1"/>
  <c r="BY216" i="1"/>
  <c r="BZ216" i="1" s="1"/>
  <c r="BN216" i="1"/>
  <c r="BL216" i="1"/>
  <c r="AQ216" i="1"/>
  <c r="AE216" i="1"/>
  <c r="CC215" i="1"/>
  <c r="CC214" i="1"/>
  <c r="AQ214" i="1"/>
  <c r="AE214" i="1"/>
  <c r="AG214" i="1" s="1"/>
  <c r="CC213" i="1"/>
  <c r="CC212" i="1"/>
  <c r="AQ212" i="1"/>
  <c r="AE212" i="1"/>
  <c r="AG212" i="1" s="1"/>
  <c r="CC211" i="1"/>
  <c r="CC159" i="1"/>
  <c r="AQ159" i="1"/>
  <c r="AE159" i="1"/>
  <c r="AG159" i="1" s="1"/>
  <c r="CA158" i="1"/>
  <c r="BN158" i="1"/>
  <c r="AQ158" i="1"/>
  <c r="AE158" i="1"/>
  <c r="AG158" i="1" s="1"/>
  <c r="CA157" i="1"/>
  <c r="BY157" i="1"/>
  <c r="BN157" i="1"/>
  <c r="BM157" i="1"/>
  <c r="BL157" i="1"/>
  <c r="AQ157" i="1"/>
  <c r="AS157" i="1" s="1"/>
  <c r="AE157" i="1"/>
  <c r="CC156" i="1"/>
  <c r="CC155" i="1"/>
  <c r="CA154" i="1"/>
  <c r="BN154" i="1"/>
  <c r="BM154" i="1"/>
  <c r="BL154" i="1"/>
  <c r="AQ154" i="1"/>
  <c r="AE154" i="1"/>
  <c r="BN153" i="1"/>
  <c r="CC153" i="1" s="1"/>
  <c r="AQ153" i="1"/>
  <c r="AE153" i="1"/>
  <c r="AG153" i="1" s="1"/>
  <c r="BN152" i="1"/>
  <c r="CC152" i="1" s="1"/>
  <c r="BM152" i="1"/>
  <c r="AQ152" i="1"/>
  <c r="AE152" i="1"/>
  <c r="AG152" i="1" s="1"/>
  <c r="CA151" i="1"/>
  <c r="BY151" i="1"/>
  <c r="BZ151" i="1" s="1"/>
  <c r="BN151" i="1"/>
  <c r="BM151" i="1"/>
  <c r="AQ151" i="1"/>
  <c r="AE151" i="1"/>
  <c r="CC149" i="1"/>
  <c r="CA148" i="1"/>
  <c r="BY148" i="1"/>
  <c r="BZ148" i="1" s="1"/>
  <c r="BN148" i="1"/>
  <c r="AQ148" i="1"/>
  <c r="AE148" i="1"/>
  <c r="AG148" i="1" s="1"/>
  <c r="CA147" i="1"/>
  <c r="BY147" i="1"/>
  <c r="BN147" i="1"/>
  <c r="BM147" i="1"/>
  <c r="AQ147" i="1"/>
  <c r="AE147" i="1"/>
  <c r="AG147" i="1" s="1"/>
  <c r="CA93" i="1"/>
  <c r="BN93" i="1"/>
  <c r="BM93" i="1"/>
  <c r="BL93" i="1"/>
  <c r="AR93" i="1"/>
  <c r="AQ93" i="1"/>
  <c r="AE93" i="1"/>
  <c r="CA92" i="1"/>
  <c r="BY92" i="1"/>
  <c r="BZ92" i="1" s="1"/>
  <c r="BN92" i="1"/>
  <c r="BM92" i="1"/>
  <c r="BL92" i="1"/>
  <c r="AR92" i="1"/>
  <c r="AQ92" i="1"/>
  <c r="AE92" i="1"/>
  <c r="CA91" i="1"/>
  <c r="BY91" i="1"/>
  <c r="BZ91" i="1" s="1"/>
  <c r="BN91" i="1"/>
  <c r="BM91" i="1"/>
  <c r="AQ91" i="1"/>
  <c r="AS91" i="1" s="1"/>
  <c r="AE91" i="1"/>
  <c r="AG91" i="1" s="1"/>
  <c r="BN90" i="1"/>
  <c r="CC90" i="1" s="1"/>
  <c r="AQ90" i="1"/>
  <c r="AS90" i="1" s="1"/>
  <c r="AE90" i="1"/>
  <c r="AG90" i="1" s="1"/>
  <c r="CA89" i="1"/>
  <c r="BY89" i="1"/>
  <c r="BZ89" i="1" s="1"/>
  <c r="BN89" i="1"/>
  <c r="BM89" i="1"/>
  <c r="AR89" i="1"/>
  <c r="AQ89" i="1"/>
  <c r="AE89" i="1"/>
  <c r="BN88" i="1"/>
  <c r="CC88" i="1" s="1"/>
  <c r="BM88" i="1"/>
  <c r="BN87" i="1"/>
  <c r="CC87" i="1" s="1"/>
  <c r="BM87" i="1"/>
  <c r="AR87" i="1"/>
  <c r="AQ87" i="1"/>
  <c r="AE87" i="1"/>
  <c r="AG87" i="1" s="1"/>
  <c r="CA86" i="1"/>
  <c r="BY86" i="1"/>
  <c r="BN86" i="1"/>
  <c r="BM86" i="1"/>
  <c r="AR86" i="1"/>
  <c r="AQ86" i="1"/>
  <c r="AS86" i="1" s="1"/>
  <c r="AE86" i="1"/>
  <c r="AG86" i="1" s="1"/>
  <c r="CA85" i="1"/>
  <c r="BY85" i="1"/>
  <c r="BN85" i="1"/>
  <c r="BM85" i="1"/>
  <c r="AR85" i="1"/>
  <c r="AQ85" i="1"/>
  <c r="AE85" i="1"/>
  <c r="CA84" i="1"/>
  <c r="BY84" i="1"/>
  <c r="BZ84" i="1" s="1"/>
  <c r="BN84" i="1"/>
  <c r="AQ84" i="1"/>
  <c r="AE84" i="1"/>
  <c r="BN83" i="1"/>
  <c r="CC83" i="1" s="1"/>
  <c r="AQ83" i="1"/>
  <c r="AE83" i="1"/>
  <c r="AG83" i="1" s="1"/>
  <c r="BN82" i="1"/>
  <c r="CC82" i="1" s="1"/>
  <c r="BM82" i="1"/>
  <c r="AQ82" i="1"/>
  <c r="AE82" i="1"/>
  <c r="AG82" i="1" s="1"/>
  <c r="CA81" i="1"/>
  <c r="BY81" i="1"/>
  <c r="BZ81" i="1" s="1"/>
  <c r="BN81" i="1"/>
  <c r="BM81" i="1"/>
  <c r="AQ81" i="1"/>
  <c r="AE81" i="1"/>
  <c r="CA80" i="1"/>
  <c r="BY80" i="1"/>
  <c r="BZ80" i="1" s="1"/>
  <c r="BN80" i="1"/>
  <c r="BM80" i="1"/>
  <c r="AS80" i="1"/>
  <c r="AR80" i="1"/>
  <c r="BN79" i="1"/>
  <c r="CC79" i="1" s="1"/>
  <c r="AQ79" i="1"/>
  <c r="AE79" i="1"/>
  <c r="AG79" i="1" s="1"/>
  <c r="CA78" i="1"/>
  <c r="BY78" i="1"/>
  <c r="BZ78" i="1" s="1"/>
  <c r="BN78" i="1"/>
  <c r="BM78" i="1"/>
  <c r="AR78" i="1"/>
  <c r="AQ78" i="1"/>
  <c r="AE78" i="1"/>
  <c r="CA77" i="1"/>
  <c r="BY77" i="1"/>
  <c r="BN77" i="1"/>
  <c r="BM77" i="1"/>
  <c r="BL77" i="1"/>
  <c r="AQ77" i="1"/>
  <c r="AE77" i="1"/>
  <c r="BN76" i="1"/>
  <c r="CC76" i="1" s="1"/>
  <c r="BM76" i="1"/>
  <c r="AR76" i="1"/>
  <c r="AQ76" i="1"/>
  <c r="AE76" i="1"/>
  <c r="CA75" i="1"/>
  <c r="BY75" i="1"/>
  <c r="BN75" i="1"/>
  <c r="BM75" i="1"/>
  <c r="BL75" i="1"/>
  <c r="AQ75" i="1"/>
  <c r="AE75" i="1"/>
  <c r="CA74" i="1"/>
  <c r="BY74" i="1"/>
  <c r="BZ74" i="1" s="1"/>
  <c r="BN74" i="1"/>
  <c r="BM74" i="1"/>
  <c r="AQ74" i="1"/>
  <c r="AE74" i="1"/>
  <c r="CA73" i="1"/>
  <c r="BY73" i="1"/>
  <c r="BZ73" i="1" s="1"/>
  <c r="BN73" i="1"/>
  <c r="BM73" i="1"/>
  <c r="AQ73" i="1"/>
  <c r="AS73" i="1" s="1"/>
  <c r="AE73" i="1"/>
  <c r="CA72" i="1"/>
  <c r="BY72" i="1"/>
  <c r="BZ72" i="1" s="1"/>
  <c r="BN72" i="1"/>
  <c r="BM72" i="1"/>
  <c r="AQ72" i="1"/>
  <c r="AS72" i="1" s="1"/>
  <c r="AE72" i="1"/>
  <c r="AG72" i="1" s="1"/>
  <c r="CA71" i="1"/>
  <c r="BY71" i="1"/>
  <c r="BZ71" i="1" s="1"/>
  <c r="BN71" i="1"/>
  <c r="BM71" i="1"/>
  <c r="AQ71" i="1"/>
  <c r="AE71" i="1"/>
  <c r="AG71" i="1" s="1"/>
  <c r="CA70" i="1"/>
  <c r="BY70" i="1"/>
  <c r="BZ70" i="1" s="1"/>
  <c r="BN70" i="1"/>
  <c r="BM70" i="1"/>
  <c r="AQ70" i="1"/>
  <c r="AE70" i="1"/>
  <c r="AG70" i="1" s="1"/>
  <c r="CA69" i="1"/>
  <c r="BY69" i="1"/>
  <c r="BZ69" i="1" s="1"/>
  <c r="BN69" i="1"/>
  <c r="BM69" i="1"/>
  <c r="AR69" i="1"/>
  <c r="AQ69" i="1"/>
  <c r="AE69" i="1"/>
  <c r="CA68" i="1"/>
  <c r="BY68" i="1"/>
  <c r="BZ68" i="1" s="1"/>
  <c r="BN68" i="1"/>
  <c r="BM68" i="1"/>
  <c r="BL68" i="1"/>
  <c r="AR68" i="1"/>
  <c r="AQ68" i="1"/>
  <c r="AE68" i="1"/>
  <c r="CA67" i="1"/>
  <c r="BY67" i="1"/>
  <c r="BN67" i="1"/>
  <c r="BM67" i="1"/>
  <c r="AR67" i="1"/>
  <c r="AQ67" i="1"/>
  <c r="AE67" i="1"/>
  <c r="AG67" i="1" s="1"/>
  <c r="BN66" i="1"/>
  <c r="CC66" i="1" s="1"/>
  <c r="BM66" i="1"/>
  <c r="CA65" i="1"/>
  <c r="BY65" i="1"/>
  <c r="BZ65" i="1" s="1"/>
  <c r="BN65" i="1"/>
  <c r="AQ65" i="1"/>
  <c r="AE65" i="1"/>
  <c r="CA64" i="1"/>
  <c r="BY64" i="1"/>
  <c r="BZ64" i="1" s="1"/>
  <c r="BN64" i="1"/>
  <c r="BM64" i="1"/>
  <c r="AR64" i="1"/>
  <c r="AQ64" i="1"/>
  <c r="AE64" i="1"/>
  <c r="CA63" i="1"/>
  <c r="BY63" i="1"/>
  <c r="BN63" i="1"/>
  <c r="BM63" i="1"/>
  <c r="AR63" i="1"/>
  <c r="AQ63" i="1"/>
  <c r="AS63" i="1" s="1"/>
  <c r="AE63" i="1"/>
  <c r="BN62" i="1"/>
  <c r="CC62" i="1" s="1"/>
  <c r="BM62" i="1"/>
  <c r="BL62" i="1"/>
  <c r="AQ62" i="1"/>
  <c r="AE62" i="1"/>
  <c r="AG62" i="1" s="1"/>
  <c r="BN61" i="1"/>
  <c r="CC61" i="1" s="1"/>
  <c r="BM61" i="1"/>
  <c r="AQ61" i="1"/>
  <c r="AE61" i="1"/>
  <c r="AG61" i="1" s="1"/>
  <c r="CA60" i="1"/>
  <c r="BY60" i="1"/>
  <c r="BZ60" i="1" s="1"/>
  <c r="BN60" i="1"/>
  <c r="AQ60" i="1"/>
  <c r="AE60" i="1"/>
  <c r="CA59" i="1"/>
  <c r="BY59" i="1"/>
  <c r="BZ59" i="1" s="1"/>
  <c r="BI59" i="1"/>
  <c r="BN59" i="1" s="1"/>
  <c r="AR59" i="1"/>
  <c r="AQ59" i="1"/>
  <c r="AS59" i="1" s="1"/>
  <c r="AE59" i="1"/>
  <c r="CA58" i="1"/>
  <c r="BY58" i="1"/>
  <c r="BN58" i="1"/>
  <c r="BM58" i="1"/>
  <c r="AQ58" i="1"/>
  <c r="AE58" i="1"/>
  <c r="BN57" i="1"/>
  <c r="CC57" i="1" s="1"/>
  <c r="BM57" i="1"/>
  <c r="AQ57" i="1"/>
  <c r="AE57" i="1"/>
  <c r="AG57" i="1" s="1"/>
  <c r="CA56" i="1"/>
  <c r="BY56" i="1"/>
  <c r="BN56" i="1"/>
  <c r="BM56" i="1"/>
  <c r="AR56" i="1"/>
  <c r="AQ56" i="1"/>
  <c r="AE56" i="1"/>
  <c r="CA55" i="1"/>
  <c r="BY55" i="1"/>
  <c r="BZ55" i="1" s="1"/>
  <c r="BN55" i="1"/>
  <c r="BM55" i="1"/>
  <c r="AR55" i="1"/>
  <c r="AQ55" i="1"/>
  <c r="AE55" i="1"/>
  <c r="CA54" i="1"/>
  <c r="BY54" i="1"/>
  <c r="BZ54" i="1" s="1"/>
  <c r="BN54" i="1"/>
  <c r="BM54" i="1"/>
  <c r="AQ54" i="1"/>
  <c r="AE54" i="1"/>
  <c r="CA53" i="1"/>
  <c r="BY53" i="1"/>
  <c r="BZ53" i="1" s="1"/>
  <c r="BN53" i="1"/>
  <c r="BM53" i="1"/>
  <c r="AR53" i="1"/>
  <c r="AQ53" i="1"/>
  <c r="AE53" i="1"/>
  <c r="CA52" i="1"/>
  <c r="BY52" i="1"/>
  <c r="BN52" i="1"/>
  <c r="BM52" i="1"/>
  <c r="AR52" i="1"/>
  <c r="AQ52" i="1"/>
  <c r="AS52" i="1" s="1"/>
  <c r="AE52" i="1"/>
  <c r="AG52" i="1" s="1"/>
  <c r="CA51" i="1"/>
  <c r="BY51" i="1"/>
  <c r="BZ51" i="1" s="1"/>
  <c r="BN51" i="1"/>
  <c r="BM51" i="1"/>
  <c r="AR51" i="1"/>
  <c r="AQ51" i="1"/>
  <c r="AE51" i="1"/>
  <c r="AG51" i="1" s="1"/>
  <c r="CA50" i="1"/>
  <c r="BY50" i="1"/>
  <c r="BZ50" i="1" s="1"/>
  <c r="BN50" i="1"/>
  <c r="BM50" i="1"/>
  <c r="AR50" i="1"/>
  <c r="AQ50" i="1"/>
  <c r="AE50" i="1"/>
  <c r="CA49" i="1"/>
  <c r="BY49" i="1"/>
  <c r="BZ49" i="1" s="1"/>
  <c r="BN49" i="1"/>
  <c r="BM49" i="1"/>
  <c r="AR49" i="1"/>
  <c r="AQ49" i="1"/>
  <c r="AE49" i="1"/>
  <c r="CA48" i="1"/>
  <c r="BY48" i="1"/>
  <c r="BN48" i="1"/>
  <c r="BM48" i="1"/>
  <c r="AR48" i="1"/>
  <c r="AQ48" i="1"/>
  <c r="AE48" i="1"/>
  <c r="CA47" i="1"/>
  <c r="BY47" i="1"/>
  <c r="BZ47" i="1" s="1"/>
  <c r="BN47" i="1"/>
  <c r="BM47" i="1"/>
  <c r="BL47" i="1"/>
  <c r="AQ47" i="1"/>
  <c r="AS47" i="1" s="1"/>
  <c r="AE47" i="1"/>
  <c r="AG47" i="1" s="1"/>
  <c r="CA46" i="1"/>
  <c r="BY46" i="1"/>
  <c r="BZ46" i="1" s="1"/>
  <c r="BN46" i="1"/>
  <c r="AQ46" i="1"/>
  <c r="AE46" i="1"/>
  <c r="CA45" i="1"/>
  <c r="CB45" i="1" s="1"/>
  <c r="BY45" i="1"/>
  <c r="BZ45" i="1" s="1"/>
  <c r="AR45" i="1"/>
  <c r="AQ45" i="1"/>
  <c r="AE45" i="1"/>
  <c r="CA44" i="1"/>
  <c r="BY44" i="1"/>
  <c r="BN44" i="1"/>
  <c r="BM44" i="1"/>
  <c r="BL44" i="1"/>
  <c r="AR44" i="1"/>
  <c r="AQ44" i="1"/>
  <c r="AE44" i="1"/>
  <c r="CA43" i="1"/>
  <c r="BY43" i="1"/>
  <c r="BZ43" i="1" s="1"/>
  <c r="BI43" i="1"/>
  <c r="BM43" i="1" s="1"/>
  <c r="AR43" i="1"/>
  <c r="AQ43" i="1"/>
  <c r="AE43" i="1"/>
  <c r="CA42" i="1"/>
  <c r="BN42" i="1"/>
  <c r="BM42" i="1"/>
  <c r="BL42" i="1"/>
  <c r="AQ42" i="1"/>
  <c r="AE42" i="1"/>
  <c r="AG42" i="1" s="1"/>
  <c r="CA41" i="1"/>
  <c r="BY41" i="1"/>
  <c r="BZ41" i="1" s="1"/>
  <c r="BN41" i="1"/>
  <c r="BM41" i="1"/>
  <c r="BL41" i="1"/>
  <c r="AR41" i="1"/>
  <c r="AQ41" i="1"/>
  <c r="AE41" i="1"/>
  <c r="CA40" i="1"/>
  <c r="BY40" i="1"/>
  <c r="BZ40" i="1" s="1"/>
  <c r="BN40" i="1"/>
  <c r="AQ40" i="1"/>
  <c r="AE40" i="1"/>
  <c r="CA39" i="1"/>
  <c r="BY39" i="1"/>
  <c r="BZ39" i="1" s="1"/>
  <c r="BN39" i="1"/>
  <c r="BL39" i="1"/>
  <c r="AQ39" i="1"/>
  <c r="AE39" i="1"/>
  <c r="AG39" i="1" s="1"/>
  <c r="CA38" i="1"/>
  <c r="BY38" i="1"/>
  <c r="BN38" i="1"/>
  <c r="BM38" i="1"/>
  <c r="AQ38" i="1"/>
  <c r="AE38" i="1"/>
  <c r="CA37" i="1"/>
  <c r="BY37" i="1"/>
  <c r="BZ37" i="1" s="1"/>
  <c r="BI37" i="1"/>
  <c r="BM37" i="1" s="1"/>
  <c r="AR37" i="1"/>
  <c r="AQ37" i="1"/>
  <c r="AE37" i="1"/>
  <c r="CA36" i="1"/>
  <c r="BY36" i="1"/>
  <c r="BZ36" i="1" s="1"/>
  <c r="BN36" i="1"/>
  <c r="BM36" i="1"/>
  <c r="AR36" i="1"/>
  <c r="AQ36" i="1"/>
  <c r="AE36" i="1"/>
  <c r="CA35" i="1"/>
  <c r="BY35" i="1"/>
  <c r="BZ35" i="1" s="1"/>
  <c r="BN35" i="1"/>
  <c r="BM35" i="1"/>
  <c r="AR35" i="1"/>
  <c r="AQ35" i="1"/>
  <c r="AE35" i="1"/>
  <c r="CA34" i="1"/>
  <c r="BY34" i="1"/>
  <c r="BZ34" i="1" s="1"/>
  <c r="BN34" i="1"/>
  <c r="BM34" i="1"/>
  <c r="AR34" i="1"/>
  <c r="AQ34" i="1"/>
  <c r="AE34" i="1"/>
  <c r="BN33" i="1"/>
  <c r="BM33" i="1"/>
  <c r="AQ33" i="1"/>
  <c r="AE33" i="1"/>
  <c r="AG33" i="1" s="1"/>
  <c r="CA32" i="1"/>
  <c r="BY32" i="1"/>
  <c r="BZ32" i="1" s="1"/>
  <c r="BN32" i="1"/>
  <c r="BM32" i="1"/>
  <c r="AQ32" i="1"/>
  <c r="AE32" i="1"/>
  <c r="CA31" i="1"/>
  <c r="BY31" i="1"/>
  <c r="BN31" i="1"/>
  <c r="BM31" i="1"/>
  <c r="AQ31" i="1"/>
  <c r="AS31" i="1" s="1"/>
  <c r="AE31" i="1"/>
  <c r="CA30" i="1"/>
  <c r="BY30" i="1"/>
  <c r="BZ30" i="1" s="1"/>
  <c r="BN30" i="1"/>
  <c r="BM30" i="1"/>
  <c r="AR30" i="1"/>
  <c r="AQ30" i="1"/>
  <c r="AE30" i="1"/>
  <c r="CA29" i="1"/>
  <c r="BY29" i="1"/>
  <c r="BZ29" i="1" s="1"/>
  <c r="BN29" i="1"/>
  <c r="BM29" i="1"/>
  <c r="AQ29" i="1"/>
  <c r="AE29" i="1"/>
  <c r="BN28" i="1"/>
  <c r="AQ28" i="1"/>
  <c r="AE28" i="1"/>
  <c r="AG28" i="1" s="1"/>
  <c r="CA27" i="1"/>
  <c r="BY27" i="1"/>
  <c r="BZ27" i="1" s="1"/>
  <c r="BI27" i="1"/>
  <c r="AR27" i="1"/>
  <c r="AQ27" i="1"/>
  <c r="AE27" i="1"/>
  <c r="CA26" i="1"/>
  <c r="BY26" i="1"/>
  <c r="BZ26" i="1" s="1"/>
  <c r="BN26" i="1"/>
  <c r="BM26" i="1"/>
  <c r="BL26" i="1"/>
  <c r="AQ26" i="1"/>
  <c r="AE26" i="1"/>
  <c r="CA25" i="1"/>
  <c r="BY25" i="1"/>
  <c r="BZ25" i="1" s="1"/>
  <c r="BN25" i="1"/>
  <c r="BM25" i="1"/>
  <c r="AQ25" i="1"/>
  <c r="AE25" i="1"/>
  <c r="AG25" i="1" s="1"/>
  <c r="CA24" i="1"/>
  <c r="BY24" i="1"/>
  <c r="BZ24" i="1" s="1"/>
  <c r="BN24" i="1"/>
  <c r="BM24" i="1"/>
  <c r="AQ24" i="1"/>
  <c r="AE24" i="1"/>
  <c r="CA23" i="1"/>
  <c r="BY23" i="1"/>
  <c r="BZ23" i="1" s="1"/>
  <c r="BL23" i="1"/>
  <c r="BI23" i="1"/>
  <c r="AR23" i="1"/>
  <c r="AQ23" i="1"/>
  <c r="AE23" i="1"/>
  <c r="CA22" i="1"/>
  <c r="BY22" i="1"/>
  <c r="BN22" i="1"/>
  <c r="BM22" i="1"/>
  <c r="BL22" i="1"/>
  <c r="AR22" i="1"/>
  <c r="AQ22" i="1"/>
  <c r="AE22" i="1"/>
  <c r="CA21" i="1"/>
  <c r="BY21" i="1"/>
  <c r="BZ21" i="1" s="1"/>
  <c r="BN21" i="1"/>
  <c r="BM21" i="1"/>
  <c r="AR21" i="1"/>
  <c r="AQ21" i="1"/>
  <c r="AE21" i="1"/>
  <c r="CA20" i="1"/>
  <c r="BN20" i="1"/>
  <c r="BM20" i="1"/>
  <c r="BL20" i="1"/>
  <c r="AQ20" i="1"/>
  <c r="AE20" i="1"/>
  <c r="AG20" i="1" s="1"/>
  <c r="BN19" i="1"/>
  <c r="BM19" i="1"/>
  <c r="AR19" i="1"/>
  <c r="AQ19" i="1"/>
  <c r="AE19" i="1"/>
  <c r="CA18" i="1"/>
  <c r="BY18" i="1"/>
  <c r="BZ18" i="1" s="1"/>
  <c r="BN18" i="1"/>
  <c r="BM18" i="1"/>
  <c r="BL18" i="1"/>
  <c r="AR18" i="1"/>
  <c r="AQ18" i="1"/>
  <c r="AS18" i="1" s="1"/>
  <c r="AE18" i="1"/>
  <c r="CA17" i="1"/>
  <c r="BY17" i="1"/>
  <c r="BZ17" i="1" s="1"/>
  <c r="BN17" i="1"/>
  <c r="BL17" i="1"/>
  <c r="AQ17" i="1"/>
  <c r="AE17" i="1"/>
  <c r="AG17" i="1" s="1"/>
  <c r="BN16" i="1"/>
  <c r="CC16" i="1" s="1"/>
  <c r="BM16" i="1"/>
  <c r="BL16" i="1"/>
  <c r="AR16" i="1"/>
  <c r="AQ16" i="1"/>
  <c r="AE16" i="1"/>
  <c r="AG16" i="1" s="1"/>
  <c r="CA15" i="1"/>
  <c r="BY15" i="1"/>
  <c r="BZ15" i="1" s="1"/>
  <c r="BM15" i="1"/>
  <c r="AR15" i="1"/>
  <c r="AQ15" i="1"/>
  <c r="CA14" i="1"/>
  <c r="BY14" i="1"/>
  <c r="BZ14" i="1" s="1"/>
  <c r="BN14" i="1"/>
  <c r="BM14" i="1"/>
  <c r="AR14" i="1"/>
  <c r="AQ14" i="1"/>
  <c r="CA13" i="1"/>
  <c r="BN13" i="1"/>
  <c r="BM13" i="1"/>
  <c r="BL13" i="1"/>
  <c r="AQ13" i="1"/>
  <c r="AE13" i="1"/>
  <c r="AG13" i="1" s="1"/>
  <c r="CA12" i="1"/>
  <c r="BY12" i="1"/>
  <c r="BZ12" i="1" s="1"/>
  <c r="BN12" i="1"/>
  <c r="BM12" i="1"/>
  <c r="BL12" i="1"/>
  <c r="AQ12" i="1"/>
  <c r="AE12" i="1"/>
  <c r="CA11" i="1"/>
  <c r="BY11" i="1"/>
  <c r="BM11" i="1"/>
  <c r="AQ11" i="1"/>
  <c r="AE11" i="1"/>
  <c r="CA10" i="1"/>
  <c r="BY10" i="1"/>
  <c r="BZ10" i="1" s="1"/>
  <c r="BN10" i="1"/>
  <c r="BM10" i="1"/>
  <c r="AQ10" i="1"/>
  <c r="AS10" i="1" s="1"/>
  <c r="AE10" i="1"/>
  <c r="AG10" i="1" s="1"/>
  <c r="CA9" i="1"/>
  <c r="BY9" i="1"/>
  <c r="BZ9" i="1" s="1"/>
  <c r="BN9" i="1"/>
  <c r="BL9" i="1"/>
  <c r="AQ9" i="1"/>
  <c r="AE9" i="1"/>
  <c r="CA8" i="1"/>
  <c r="BY8" i="1"/>
  <c r="BN8" i="1"/>
  <c r="BM8" i="1"/>
  <c r="AQ8" i="1"/>
  <c r="AS8" i="1" s="1"/>
  <c r="AE8" i="1"/>
  <c r="CA7" i="1"/>
  <c r="BY7" i="1"/>
  <c r="BN7" i="1"/>
  <c r="BM7" i="1"/>
  <c r="AQ7" i="1"/>
  <c r="AE7" i="1"/>
  <c r="CA6" i="1"/>
  <c r="BY6" i="1"/>
  <c r="BZ6" i="1" s="1"/>
  <c r="BN6" i="1"/>
  <c r="BM6" i="1"/>
  <c r="AG6" i="1"/>
  <c r="CA5" i="1"/>
  <c r="BY5" i="1"/>
  <c r="BN5" i="1"/>
  <c r="BM5" i="1"/>
  <c r="AE5" i="1"/>
  <c r="CA4" i="1"/>
  <c r="BZ4" i="1"/>
  <c r="BM4" i="1"/>
  <c r="CB75" i="1" l="1"/>
  <c r="CC75" i="1" s="1"/>
  <c r="CB323" i="1"/>
  <c r="CC323" i="1" s="1"/>
  <c r="CB345" i="1"/>
  <c r="CC345" i="1" s="1"/>
  <c r="CB372" i="1"/>
  <c r="CC372" i="1" s="1"/>
  <c r="CB60" i="1"/>
  <c r="CJ60" i="1" s="1"/>
  <c r="CB71" i="1"/>
  <c r="CC71" i="1" s="1"/>
  <c r="CB326" i="1"/>
  <c r="CC326" i="1" s="1"/>
  <c r="CB17" i="1"/>
  <c r="CJ17" i="1" s="1"/>
  <c r="CB18" i="1"/>
  <c r="CJ18" i="1" s="1"/>
  <c r="CB31" i="1"/>
  <c r="CJ31" i="1" s="1"/>
  <c r="CB35" i="1"/>
  <c r="CC35" i="1" s="1"/>
  <c r="CB50" i="1"/>
  <c r="CJ50" i="1" s="1"/>
  <c r="CB147" i="1"/>
  <c r="CJ147" i="1" s="1"/>
  <c r="CB335" i="1"/>
  <c r="CC335" i="1" s="1"/>
  <c r="CB6" i="1"/>
  <c r="CJ6" i="1" s="1"/>
  <c r="CB14" i="1"/>
  <c r="CC14" i="1" s="1"/>
  <c r="CB24" i="1"/>
  <c r="CJ24" i="1" s="1"/>
  <c r="CB36" i="1"/>
  <c r="CC36" i="1" s="1"/>
  <c r="CB13" i="1"/>
  <c r="CJ13" i="1" s="1"/>
  <c r="CB39" i="1"/>
  <c r="CJ39" i="1" s="1"/>
  <c r="CB216" i="1"/>
  <c r="CC216" i="1" s="1"/>
  <c r="CB426" i="1"/>
  <c r="CC426" i="1" s="1"/>
  <c r="CB158" i="1"/>
  <c r="CC158" i="1" s="1"/>
  <c r="CB27" i="1"/>
  <c r="CJ27" i="1" s="1"/>
  <c r="CB68" i="1"/>
  <c r="CC68" i="1" s="1"/>
  <c r="CB77" i="1"/>
  <c r="CC77" i="1" s="1"/>
  <c r="CB80" i="1"/>
  <c r="CC80" i="1" s="1"/>
  <c r="CB275" i="1"/>
  <c r="CC275" i="1" s="1"/>
  <c r="CB229" i="1"/>
  <c r="CJ229" i="1" s="1"/>
  <c r="CB21" i="1"/>
  <c r="CJ21" i="1" s="1"/>
  <c r="CB43" i="1"/>
  <c r="CJ43" i="1" s="1"/>
  <c r="CB8" i="1"/>
  <c r="CC8" i="1" s="1"/>
  <c r="CB11" i="1"/>
  <c r="CJ11" i="1" s="1"/>
  <c r="CB15" i="1"/>
  <c r="CJ15" i="1" s="1"/>
  <c r="CB26" i="1"/>
  <c r="CJ26" i="1" s="1"/>
  <c r="CB72" i="1"/>
  <c r="CJ72" i="1" s="1"/>
  <c r="CB38" i="1"/>
  <c r="CC38" i="1" s="1"/>
  <c r="CB37" i="1"/>
  <c r="CB53" i="1"/>
  <c r="CC53" i="1" s="1"/>
  <c r="CB154" i="1"/>
  <c r="CJ154" i="1" s="1"/>
  <c r="CB249" i="1"/>
  <c r="CJ45" i="1"/>
  <c r="CJ345" i="1"/>
  <c r="AS26" i="1"/>
  <c r="AS9" i="1"/>
  <c r="AS304" i="1"/>
  <c r="AS56" i="1"/>
  <c r="AS27" i="1"/>
  <c r="BN37" i="1"/>
  <c r="AS41" i="1"/>
  <c r="AS383" i="1"/>
  <c r="AS405" i="1"/>
  <c r="AG34" i="1"/>
  <c r="AG53" i="1"/>
  <c r="AG84" i="1"/>
  <c r="AS48" i="1"/>
  <c r="AS307" i="1"/>
  <c r="BM383" i="1"/>
  <c r="AG391" i="1"/>
  <c r="AS46" i="1"/>
  <c r="AS289" i="1"/>
  <c r="AS42" i="1"/>
  <c r="AG43" i="1"/>
  <c r="AS64" i="1"/>
  <c r="AS69" i="1"/>
  <c r="AG81" i="1"/>
  <c r="AS92" i="1"/>
  <c r="AG7" i="1"/>
  <c r="AG19" i="1"/>
  <c r="AS21" i="1"/>
  <c r="AG35" i="1"/>
  <c r="AG40" i="1"/>
  <c r="AS45" i="1"/>
  <c r="AG46" i="1"/>
  <c r="AG56" i="1"/>
  <c r="AG89" i="1"/>
  <c r="AS418" i="1"/>
  <c r="AG18" i="1"/>
  <c r="AS404" i="1"/>
  <c r="AG22" i="1"/>
  <c r="AG24" i="1"/>
  <c r="AG31" i="1"/>
  <c r="AS53" i="1"/>
  <c r="AS55" i="1"/>
  <c r="AG93" i="1"/>
  <c r="AG216" i="1"/>
  <c r="AS322" i="1"/>
  <c r="AS12" i="1"/>
  <c r="AS24" i="1"/>
  <c r="CB9" i="1"/>
  <c r="AG21" i="1"/>
  <c r="AG23" i="1"/>
  <c r="BZ44" i="1"/>
  <c r="BZ48" i="1"/>
  <c r="CB52" i="1"/>
  <c r="BZ58" i="1"/>
  <c r="CB73" i="1"/>
  <c r="AS54" i="1"/>
  <c r="AS40" i="1"/>
  <c r="BM23" i="1"/>
  <c r="BN23" i="1"/>
  <c r="BZ22" i="1"/>
  <c r="AG8" i="1"/>
  <c r="BZ11" i="1"/>
  <c r="BN15" i="1"/>
  <c r="AS20" i="1"/>
  <c r="AS29" i="1"/>
  <c r="AS39" i="1"/>
  <c r="AG50" i="1"/>
  <c r="AS58" i="1"/>
  <c r="AS11" i="1"/>
  <c r="BN27" i="1"/>
  <c r="BM27" i="1"/>
  <c r="AG37" i="1"/>
  <c r="AS38" i="1"/>
  <c r="AS223" i="1"/>
  <c r="BZ254" i="1"/>
  <c r="AS316" i="1"/>
  <c r="BZ319" i="1"/>
  <c r="AS330" i="1"/>
  <c r="AS338" i="1"/>
  <c r="AS367" i="1"/>
  <c r="AG12" i="1"/>
  <c r="AS15" i="1"/>
  <c r="AG38" i="1"/>
  <c r="AG63" i="1"/>
  <c r="AG64" i="1"/>
  <c r="AS89" i="1"/>
  <c r="AG299" i="1"/>
  <c r="AG310" i="1"/>
  <c r="AS369" i="1"/>
  <c r="AG235" i="1"/>
  <c r="CB387" i="1"/>
  <c r="CC387" i="1" s="1"/>
  <c r="AG54" i="1"/>
  <c r="AG69" i="1"/>
  <c r="AG92" i="1"/>
  <c r="AG154" i="1"/>
  <c r="AG226" i="1"/>
  <c r="AS272" i="1"/>
  <c r="AG335" i="1"/>
  <c r="AS345" i="1"/>
  <c r="AS291" i="1"/>
  <c r="AS375" i="1"/>
  <c r="AS82" i="1"/>
  <c r="AG151" i="1"/>
  <c r="AG345" i="1"/>
  <c r="CB30" i="1"/>
  <c r="AG30" i="1"/>
  <c r="AS33" i="1"/>
  <c r="AG45" i="1"/>
  <c r="CC45" i="1"/>
  <c r="CB46" i="1"/>
  <c r="AS49" i="1"/>
  <c r="CB51" i="1"/>
  <c r="CC51" i="1" s="1"/>
  <c r="CB56" i="1"/>
  <c r="CC56" i="1" s="1"/>
  <c r="AS61" i="1"/>
  <c r="AS68" i="1"/>
  <c r="CB69" i="1"/>
  <c r="AS71" i="1"/>
  <c r="AG73" i="1"/>
  <c r="AS81" i="1"/>
  <c r="CB151" i="1"/>
  <c r="BZ5" i="1"/>
  <c r="BZ7" i="1"/>
  <c r="AG9" i="1"/>
  <c r="CC18" i="1"/>
  <c r="AG32" i="1"/>
  <c r="AS60" i="1"/>
  <c r="AG68" i="1"/>
  <c r="BZ31" i="1"/>
  <c r="BZ86" i="1"/>
  <c r="CB7" i="1"/>
  <c r="AG5" i="1"/>
  <c r="BZ8" i="1"/>
  <c r="AS17" i="1"/>
  <c r="AS23" i="1"/>
  <c r="CB29" i="1"/>
  <c r="CJ29" i="1" s="1"/>
  <c r="CB32" i="1"/>
  <c r="AS43" i="1"/>
  <c r="AG49" i="1"/>
  <c r="AS57" i="1"/>
  <c r="AG60" i="1"/>
  <c r="AS77" i="1"/>
  <c r="AS19" i="1"/>
  <c r="CB5" i="1"/>
  <c r="AG14" i="1"/>
  <c r="AS35" i="1"/>
  <c r="AG44" i="1"/>
  <c r="AG48" i="1"/>
  <c r="CB48" i="1"/>
  <c r="AS62" i="1"/>
  <c r="AG65" i="1"/>
  <c r="AG74" i="1"/>
  <c r="AS74" i="1"/>
  <c r="AG75" i="1"/>
  <c r="AG78" i="1"/>
  <c r="BZ85" i="1"/>
  <c r="CB91" i="1"/>
  <c r="BZ147" i="1"/>
  <c r="CB63" i="1"/>
  <c r="AS226" i="1"/>
  <c r="BZ302" i="1"/>
  <c r="CB327" i="1"/>
  <c r="CC327" i="1" s="1"/>
  <c r="AS335" i="1"/>
  <c r="BN385" i="1"/>
  <c r="CC385" i="1" s="1"/>
  <c r="AS414" i="1"/>
  <c r="AG426" i="1"/>
  <c r="AS151" i="1"/>
  <c r="AS237" i="1"/>
  <c r="AS247" i="1"/>
  <c r="AG254" i="1"/>
  <c r="AS295" i="1"/>
  <c r="AS326" i="1"/>
  <c r="AG229" i="1"/>
  <c r="AS214" i="1"/>
  <c r="AS229" i="1"/>
  <c r="AG246" i="1"/>
  <c r="AS258" i="1"/>
  <c r="AS294" i="1"/>
  <c r="AS315" i="1"/>
  <c r="AS317" i="1"/>
  <c r="AS379" i="1"/>
  <c r="BZ157" i="1"/>
  <c r="AS221" i="1"/>
  <c r="CB223" i="1"/>
  <c r="AS238" i="1"/>
  <c r="AS308" i="1"/>
  <c r="AS313" i="1"/>
  <c r="BZ335" i="1"/>
  <c r="AS422" i="1"/>
  <c r="AS426" i="1"/>
  <c r="BZ230" i="1"/>
  <c r="AS235" i="1"/>
  <c r="BN240" i="1"/>
  <c r="CC240" i="1" s="1"/>
  <c r="BZ345" i="1"/>
  <c r="CB20" i="1"/>
  <c r="CB10" i="1"/>
  <c r="AS16" i="1"/>
  <c r="AS32" i="1"/>
  <c r="AS34" i="1"/>
  <c r="AG36" i="1"/>
  <c r="CB42" i="1"/>
  <c r="AS7" i="1"/>
  <c r="AS13" i="1"/>
  <c r="AS14" i="1"/>
  <c r="CB22" i="1"/>
  <c r="BZ38" i="1"/>
  <c r="AS67" i="1"/>
  <c r="CB81" i="1"/>
  <c r="AG15" i="1"/>
  <c r="BZ75" i="1"/>
  <c r="AS65" i="1"/>
  <c r="CB4" i="1"/>
  <c r="CC4" i="1" s="1"/>
  <c r="CB25" i="1"/>
  <c r="AS30" i="1"/>
  <c r="CB12" i="1"/>
  <c r="AG11" i="1"/>
  <c r="AS36" i="1"/>
  <c r="AS37" i="1"/>
  <c r="BZ77" i="1"/>
  <c r="AS22" i="1"/>
  <c r="CB47" i="1"/>
  <c r="AG58" i="1"/>
  <c r="CB74" i="1"/>
  <c r="CC74" i="1" s="1"/>
  <c r="AS76" i="1"/>
  <c r="CB89" i="1"/>
  <c r="CB23" i="1"/>
  <c r="BZ56" i="1"/>
  <c r="CB34" i="1"/>
  <c r="CC34" i="1" s="1"/>
  <c r="CB40" i="1"/>
  <c r="CB41" i="1"/>
  <c r="BN43" i="1"/>
  <c r="CB49" i="1"/>
  <c r="AS51" i="1"/>
  <c r="AG59" i="1"/>
  <c r="AS87" i="1"/>
  <c r="AS28" i="1"/>
  <c r="AG41" i="1"/>
  <c r="AS44" i="1"/>
  <c r="BZ52" i="1"/>
  <c r="BZ63" i="1"/>
  <c r="CB64" i="1"/>
  <c r="AS25" i="1"/>
  <c r="AG27" i="1"/>
  <c r="CB55" i="1"/>
  <c r="AG26" i="1"/>
  <c r="AG29" i="1"/>
  <c r="AS50" i="1"/>
  <c r="AG55" i="1"/>
  <c r="CB67" i="1"/>
  <c r="BZ234" i="1"/>
  <c r="CB54" i="1"/>
  <c r="CB58" i="1"/>
  <c r="CB59" i="1"/>
  <c r="BZ67" i="1"/>
  <c r="CB70" i="1"/>
  <c r="AG76" i="1"/>
  <c r="AS83" i="1"/>
  <c r="CB92" i="1"/>
  <c r="AS70" i="1"/>
  <c r="CB85" i="1"/>
  <c r="AS158" i="1"/>
  <c r="CB44" i="1"/>
  <c r="BM59" i="1"/>
  <c r="CB65" i="1"/>
  <c r="CC65" i="1" s="1"/>
  <c r="AG77" i="1"/>
  <c r="AS78" i="1"/>
  <c r="CB84" i="1"/>
  <c r="AS79" i="1"/>
  <c r="AG85" i="1"/>
  <c r="CB93" i="1"/>
  <c r="CB86" i="1"/>
  <c r="AS93" i="1"/>
  <c r="AG157" i="1"/>
  <c r="CB78" i="1"/>
  <c r="CC78" i="1" s="1"/>
  <c r="AS85" i="1"/>
  <c r="AS75" i="1"/>
  <c r="AS84" i="1"/>
  <c r="AS225" i="1"/>
  <c r="AS363" i="1"/>
  <c r="AS147" i="1"/>
  <c r="AS331" i="1"/>
  <c r="AS352" i="1"/>
  <c r="CB383" i="1"/>
  <c r="AS153" i="1"/>
  <c r="CB157" i="1"/>
  <c r="AS314" i="1"/>
  <c r="CB428" i="1"/>
  <c r="CC428" i="1" s="1"/>
  <c r="CC249" i="1"/>
  <c r="CJ249" i="1"/>
  <c r="AS297" i="1"/>
  <c r="BZ299" i="1"/>
  <c r="AS343" i="1"/>
  <c r="AS396" i="1"/>
  <c r="CB148" i="1"/>
  <c r="AS152" i="1"/>
  <c r="AS227" i="1"/>
  <c r="BZ310" i="1"/>
  <c r="AS376" i="1"/>
  <c r="AS154" i="1"/>
  <c r="AS159" i="1"/>
  <c r="BZ229" i="1"/>
  <c r="AS232" i="1"/>
  <c r="AS299" i="1"/>
  <c r="AS420" i="1"/>
  <c r="AS148" i="1"/>
  <c r="AS212" i="1"/>
  <c r="AS216" i="1"/>
  <c r="AS358" i="1"/>
  <c r="BZ372" i="1"/>
  <c r="AS386" i="1"/>
  <c r="CB246" i="1"/>
  <c r="AS319" i="1"/>
  <c r="CB230" i="1"/>
  <c r="CC230" i="1" s="1"/>
  <c r="AS246" i="1"/>
  <c r="CB254" i="1"/>
  <c r="CB302" i="1"/>
  <c r="CB319" i="1"/>
  <c r="CB391" i="1"/>
  <c r="CC391" i="1" s="1"/>
  <c r="CB234" i="1"/>
  <c r="AS242" i="1"/>
  <c r="AS254" i="1"/>
  <c r="AS260" i="1"/>
  <c r="BM267" i="1"/>
  <c r="CB299" i="1"/>
  <c r="AS302" i="1"/>
  <c r="AS303" i="1"/>
  <c r="CB310" i="1"/>
  <c r="CC310" i="1" s="1"/>
  <c r="AS320" i="1"/>
  <c r="AS357" i="1"/>
  <c r="AS395" i="1"/>
  <c r="AS408" i="1"/>
  <c r="AS234" i="1"/>
  <c r="AS290" i="1"/>
  <c r="CB295" i="1"/>
  <c r="AS407" i="1"/>
  <c r="AS430" i="1"/>
  <c r="CB247" i="1"/>
  <c r="AS346" i="1"/>
  <c r="AS245" i="1"/>
  <c r="AS323" i="1"/>
  <c r="AS333" i="1"/>
  <c r="AS356" i="1"/>
  <c r="AS378" i="1"/>
  <c r="AS392" i="1"/>
  <c r="CC11" i="1" l="1"/>
  <c r="CC13" i="1"/>
  <c r="CJ323" i="1"/>
  <c r="CC17" i="1"/>
  <c r="CJ77" i="1"/>
  <c r="CJ326" i="1"/>
  <c r="CJ68" i="1"/>
  <c r="CJ35" i="1"/>
  <c r="CJ216" i="1"/>
  <c r="CC26" i="1"/>
  <c r="CJ372" i="1"/>
  <c r="CC6" i="1"/>
  <c r="CJ53" i="1"/>
  <c r="CC229" i="1"/>
  <c r="CC50" i="1"/>
  <c r="CC21" i="1"/>
  <c r="CC60" i="1"/>
  <c r="CJ14" i="1"/>
  <c r="CC72" i="1"/>
  <c r="CJ158" i="1"/>
  <c r="CJ335" i="1"/>
  <c r="CJ36" i="1"/>
  <c r="CJ71" i="1"/>
  <c r="CC154" i="1"/>
  <c r="CC31" i="1"/>
  <c r="CC39" i="1"/>
  <c r="CC147" i="1"/>
  <c r="CC24" i="1"/>
  <c r="CC15" i="1"/>
  <c r="CC63" i="1"/>
  <c r="CC29" i="1"/>
  <c r="CJ7" i="1"/>
  <c r="CC9" i="1"/>
  <c r="CJ73" i="1"/>
  <c r="CC30" i="1"/>
  <c r="CJ48" i="1"/>
  <c r="CJ5" i="1"/>
  <c r="CC69" i="1"/>
  <c r="CJ223" i="1"/>
  <c r="CJ32" i="1"/>
  <c r="CC46" i="1"/>
  <c r="CC52" i="1"/>
  <c r="CJ52" i="1"/>
  <c r="CJ9" i="1"/>
  <c r="CC7" i="1"/>
  <c r="CC223" i="1"/>
  <c r="CC32" i="1"/>
  <c r="CJ63" i="1"/>
  <c r="CJ69" i="1"/>
  <c r="CC27" i="1"/>
  <c r="CC48" i="1"/>
  <c r="CC73" i="1"/>
  <c r="CJ46" i="1"/>
  <c r="CC37" i="1"/>
  <c r="CJ30" i="1"/>
  <c r="CJ91" i="1"/>
  <c r="CC91" i="1"/>
  <c r="CC5" i="1"/>
  <c r="CJ151" i="1"/>
  <c r="CC151" i="1"/>
  <c r="CJ70" i="1"/>
  <c r="CC70" i="1"/>
  <c r="CJ42" i="1"/>
  <c r="CC42" i="1"/>
  <c r="CC234" i="1"/>
  <c r="CJ234" i="1"/>
  <c r="CC302" i="1"/>
  <c r="CJ302" i="1"/>
  <c r="CC383" i="1"/>
  <c r="CJ383" i="1"/>
  <c r="CJ86" i="1"/>
  <c r="CC86" i="1"/>
  <c r="CJ54" i="1"/>
  <c r="CC54" i="1"/>
  <c r="CJ20" i="1"/>
  <c r="CC20" i="1"/>
  <c r="CJ49" i="1"/>
  <c r="CC49" i="1"/>
  <c r="CJ47" i="1"/>
  <c r="CC47" i="1"/>
  <c r="CJ12" i="1"/>
  <c r="CC12" i="1"/>
  <c r="CC81" i="1"/>
  <c r="CJ81" i="1"/>
  <c r="CJ254" i="1"/>
  <c r="CC254" i="1"/>
  <c r="CJ85" i="1"/>
  <c r="CC85" i="1"/>
  <c r="CJ89" i="1"/>
  <c r="CC89" i="1"/>
  <c r="CC247" i="1"/>
  <c r="CJ247" i="1"/>
  <c r="CJ299" i="1"/>
  <c r="CC299" i="1"/>
  <c r="CC148" i="1"/>
  <c r="CJ148" i="1"/>
  <c r="CC93" i="1"/>
  <c r="CJ93" i="1"/>
  <c r="CJ55" i="1"/>
  <c r="CC55" i="1"/>
  <c r="CJ25" i="1"/>
  <c r="CC25" i="1"/>
  <c r="CJ157" i="1"/>
  <c r="CC157" i="1"/>
  <c r="CJ44" i="1"/>
  <c r="CC44" i="1"/>
  <c r="CC92" i="1"/>
  <c r="CJ92" i="1"/>
  <c r="CJ64" i="1"/>
  <c r="CC64" i="1"/>
  <c r="CC43" i="1"/>
  <c r="CJ23" i="1"/>
  <c r="CC23" i="1"/>
  <c r="CC84" i="1"/>
  <c r="CJ84" i="1"/>
  <c r="CJ59" i="1"/>
  <c r="CC59" i="1"/>
  <c r="CC67" i="1"/>
  <c r="CJ67" i="1"/>
  <c r="CJ41" i="1"/>
  <c r="CC41" i="1"/>
  <c r="CC295" i="1"/>
  <c r="CJ295" i="1"/>
  <c r="CC319" i="1"/>
  <c r="CJ319" i="1"/>
  <c r="CJ246" i="1"/>
  <c r="CC246" i="1"/>
  <c r="CC58" i="1"/>
  <c r="CJ58" i="1"/>
  <c r="CC40" i="1"/>
  <c r="CJ40" i="1"/>
  <c r="CC22" i="1"/>
  <c r="CJ22" i="1"/>
  <c r="CC10" i="1"/>
  <c r="CJ10" i="1"/>
</calcChain>
</file>

<file path=xl/sharedStrings.xml><?xml version="1.0" encoding="utf-8"?>
<sst xmlns="http://schemas.openxmlformats.org/spreadsheetml/2006/main" count="1851" uniqueCount="816">
  <si>
    <t>ACKR</t>
  </si>
  <si>
    <t>American Cocker Spaniel</t>
  </si>
  <si>
    <t>AFGH</t>
  </si>
  <si>
    <t>Afghan Hound</t>
  </si>
  <si>
    <t>Persian Greyhound</t>
  </si>
  <si>
    <t>AIRT</t>
  </si>
  <si>
    <t>Airedale Terrier</t>
  </si>
  <si>
    <t>Waterside Terrier</t>
  </si>
  <si>
    <t>AKIT</t>
  </si>
  <si>
    <t>Akita</t>
  </si>
  <si>
    <t>AMAL</t>
  </si>
  <si>
    <t>Alaskan Malamute</t>
  </si>
  <si>
    <t>AMST</t>
  </si>
  <si>
    <t>American Staffordshire Terrier</t>
  </si>
  <si>
    <t>ANAT</t>
  </si>
  <si>
    <t>Anatolian Shepherd Dog</t>
  </si>
  <si>
    <t>Kangal Dog</t>
  </si>
  <si>
    <t>AUCD</t>
  </si>
  <si>
    <t>Australian Cattle Dog</t>
  </si>
  <si>
    <t>AUSS</t>
  </si>
  <si>
    <t xml:space="preserve">Australian Shepherd </t>
  </si>
  <si>
    <t>AUST</t>
  </si>
  <si>
    <t>Australian Terrier</t>
  </si>
  <si>
    <t>BASS</t>
  </si>
  <si>
    <t>Basset Hound</t>
  </si>
  <si>
    <t>BEAG</t>
  </si>
  <si>
    <t>Beagle</t>
  </si>
  <si>
    <t>BEDT</t>
  </si>
  <si>
    <t>Bedlington Terrier</t>
  </si>
  <si>
    <t>BELS</t>
  </si>
  <si>
    <t>Belgian Shepherd</t>
  </si>
  <si>
    <t>Chien de Berger Belge</t>
  </si>
  <si>
    <t>BERD</t>
  </si>
  <si>
    <t>Bearded Collie</t>
  </si>
  <si>
    <t>BICH</t>
  </si>
  <si>
    <t>Bichon Frise</t>
  </si>
  <si>
    <t>Bichon a Poil Frise</t>
  </si>
  <si>
    <t>BMAL</t>
  </si>
  <si>
    <t>Belgian Shepherd (Malinois)</t>
  </si>
  <si>
    <t>Chien de Berger Belge (Malinois)</t>
  </si>
  <si>
    <t>BMD</t>
  </si>
  <si>
    <t>Bernese Mountain Dog</t>
  </si>
  <si>
    <t>Berner Sennenhund</t>
  </si>
  <si>
    <t>BORD</t>
  </si>
  <si>
    <t>Border Collie</t>
  </si>
  <si>
    <t>BORT</t>
  </si>
  <si>
    <t>Border Terrier</t>
  </si>
  <si>
    <t>BORZ</t>
  </si>
  <si>
    <t>Borzoi</t>
  </si>
  <si>
    <t>BOST</t>
  </si>
  <si>
    <t>Boston Terrier</t>
  </si>
  <si>
    <t>BOUV</t>
  </si>
  <si>
    <t>Bouvier des Flandres</t>
  </si>
  <si>
    <t>BOX</t>
  </si>
  <si>
    <t>Boxer</t>
  </si>
  <si>
    <t>BPIC</t>
  </si>
  <si>
    <t>Picardy Sheepdog</t>
  </si>
  <si>
    <t>Berger Picard</t>
  </si>
  <si>
    <t>BRIA</t>
  </si>
  <si>
    <t>Briard</t>
  </si>
  <si>
    <t>Berger de Brie</t>
  </si>
  <si>
    <t>BRIT</t>
  </si>
  <si>
    <t>Brittany Spaniel</t>
  </si>
  <si>
    <t>BRTR</t>
  </si>
  <si>
    <t>Russian Black Terrier</t>
  </si>
  <si>
    <t>BRUS</t>
  </si>
  <si>
    <t>Griffon Bruxellois</t>
  </si>
  <si>
    <t>BSJI</t>
  </si>
  <si>
    <t>Basenji</t>
  </si>
  <si>
    <t>BULD</t>
  </si>
  <si>
    <t>Bulldog</t>
  </si>
  <si>
    <t>BULM</t>
  </si>
  <si>
    <t>Bullmastiff</t>
  </si>
  <si>
    <t>BULT</t>
  </si>
  <si>
    <t>Bull Terrier</t>
  </si>
  <si>
    <t>CAIR</t>
  </si>
  <si>
    <t>Cairn Terrier</t>
  </si>
  <si>
    <t>CANE</t>
  </si>
  <si>
    <t>Italian Cane Corso</t>
  </si>
  <si>
    <t>Cane Corso Italiano</t>
  </si>
  <si>
    <t>CARD</t>
  </si>
  <si>
    <t>Welsh Corgi Cardigan</t>
  </si>
  <si>
    <t>CCRT</t>
  </si>
  <si>
    <t>Curly Coated Retriever</t>
  </si>
  <si>
    <t>CHIH</t>
  </si>
  <si>
    <t>Chihuahua</t>
  </si>
  <si>
    <t>Chihuahueño</t>
  </si>
  <si>
    <t>CHIN</t>
  </si>
  <si>
    <t>Japanese Chin</t>
  </si>
  <si>
    <t>Chin</t>
  </si>
  <si>
    <t>CHOW</t>
  </si>
  <si>
    <t>Chow Chow</t>
  </si>
  <si>
    <t>CKCS</t>
  </si>
  <si>
    <t>Cavalier King Charles Spaniel</t>
  </si>
  <si>
    <t>COLL</t>
  </si>
  <si>
    <t>Collie</t>
  </si>
  <si>
    <t>COTO</t>
  </si>
  <si>
    <t>Coton de Tulear</t>
  </si>
  <si>
    <t>CRES</t>
  </si>
  <si>
    <t>Chinese Crested Dog</t>
  </si>
  <si>
    <t>DACH</t>
  </si>
  <si>
    <t>Dachshund standard</t>
  </si>
  <si>
    <t>DALM</t>
  </si>
  <si>
    <t>Dalmatian</t>
  </si>
  <si>
    <t>DANE</t>
  </si>
  <si>
    <t>Great Dane</t>
  </si>
  <si>
    <t>DDBX</t>
  </si>
  <si>
    <t>Dogue de Bordeaux</t>
  </si>
  <si>
    <t>DEER</t>
  </si>
  <si>
    <t>Scottish Deerhound</t>
  </si>
  <si>
    <t>Deerhound</t>
  </si>
  <si>
    <t>DOBP</t>
  </si>
  <si>
    <t>Dobermann Pinscher</t>
  </si>
  <si>
    <t>Dobermann</t>
  </si>
  <si>
    <t>ECKR</t>
  </si>
  <si>
    <t>English Cocker Spaniel</t>
  </si>
  <si>
    <t>ESET</t>
  </si>
  <si>
    <t>English Setter</t>
  </si>
  <si>
    <t>ESSP</t>
  </si>
  <si>
    <t>English Springer Spaniel</t>
  </si>
  <si>
    <t>EURA</t>
  </si>
  <si>
    <t>Eurasier</t>
  </si>
  <si>
    <t>FBUL</t>
  </si>
  <si>
    <t>French Bulldog</t>
  </si>
  <si>
    <t>Bouledogue Francais</t>
  </si>
  <si>
    <t>FCR</t>
  </si>
  <si>
    <t>Flatcoated Retriever</t>
  </si>
  <si>
    <t>FIEL</t>
  </si>
  <si>
    <t>Field Spaniel</t>
  </si>
  <si>
    <t>FINS</t>
  </si>
  <si>
    <t>Finnish Spitz</t>
  </si>
  <si>
    <t>GLEN</t>
  </si>
  <si>
    <t>Irish Glen of Imaal Terrier</t>
  </si>
  <si>
    <t>GOLD</t>
  </si>
  <si>
    <t>Golden Retriever</t>
  </si>
  <si>
    <t>GORD</t>
  </si>
  <si>
    <t>Gordon Setter</t>
  </si>
  <si>
    <t>GPYR</t>
  </si>
  <si>
    <t>Great Pyrenees</t>
  </si>
  <si>
    <t>GREE</t>
  </si>
  <si>
    <t>Greenland Dog</t>
  </si>
  <si>
    <t>GREY</t>
  </si>
  <si>
    <t>Greyhound</t>
  </si>
  <si>
    <t>GSD</t>
  </si>
  <si>
    <t>German Shepherd Dog</t>
  </si>
  <si>
    <t>GSHP</t>
  </si>
  <si>
    <t>German Short Haired Pointing Dog</t>
  </si>
  <si>
    <t>GSMD</t>
  </si>
  <si>
    <t>Great Swiss Mountain Dog</t>
  </si>
  <si>
    <t>GSNZ</t>
  </si>
  <si>
    <t>Schnauzer Giant</t>
  </si>
  <si>
    <t>GWHP</t>
  </si>
  <si>
    <t>German Wire Haired Pointing Dog</t>
  </si>
  <si>
    <t>HUSK</t>
  </si>
  <si>
    <t>Siberian Husky</t>
  </si>
  <si>
    <t>ICES</t>
  </si>
  <si>
    <t>Icelandic Sheepdog</t>
  </si>
  <si>
    <t>IRIT</t>
  </si>
  <si>
    <t>Irish Terrier</t>
  </si>
  <si>
    <t>ISET</t>
  </si>
  <si>
    <t>Irish Red Setter</t>
  </si>
  <si>
    <t>Irish Setter</t>
  </si>
  <si>
    <t>ITGY</t>
  </si>
  <si>
    <t>Italian Sighthound</t>
  </si>
  <si>
    <t>IWOF</t>
  </si>
  <si>
    <t>Irish Wolfhound</t>
  </si>
  <si>
    <t>IWSP</t>
  </si>
  <si>
    <t>Irish Water Spaniel</t>
  </si>
  <si>
    <t>JACK</t>
  </si>
  <si>
    <t>Jack Russell Terrier</t>
  </si>
  <si>
    <t>KEES</t>
  </si>
  <si>
    <t>German Spitz (Keeshond)</t>
  </si>
  <si>
    <t>KELP</t>
  </si>
  <si>
    <t>Australian Kelpie</t>
  </si>
  <si>
    <t>Working Kelpie</t>
  </si>
  <si>
    <t>KOMO</t>
  </si>
  <si>
    <t>Komondor</t>
  </si>
  <si>
    <t>KUVZ</t>
  </si>
  <si>
    <t>Kuvasz</t>
  </si>
  <si>
    <t>LAB</t>
  </si>
  <si>
    <t>Labrador Retriever</t>
  </si>
  <si>
    <t>LEON</t>
  </si>
  <si>
    <t>Leonberger</t>
  </si>
  <si>
    <t>LHSA</t>
  </si>
  <si>
    <t>Lhasa Apso</t>
  </si>
  <si>
    <t>LMUN</t>
  </si>
  <si>
    <t>Munsterlander Large</t>
  </si>
  <si>
    <t>MAST</t>
  </si>
  <si>
    <t>English Mastiff</t>
  </si>
  <si>
    <t>Mastiff</t>
  </si>
  <si>
    <t>MBLT</t>
  </si>
  <si>
    <t>Bull Terrier Miniature</t>
  </si>
  <si>
    <t>MPIN</t>
  </si>
  <si>
    <t>Pinscher Miniature</t>
  </si>
  <si>
    <t>MPOO</t>
  </si>
  <si>
    <t>Poodle miniature</t>
  </si>
  <si>
    <t>Caniche miniature</t>
  </si>
  <si>
    <t>MSNZ</t>
  </si>
  <si>
    <t>Schnauzer Miniature</t>
  </si>
  <si>
    <t>NELK</t>
  </si>
  <si>
    <t>Norwegian Elkhound Grey</t>
  </si>
  <si>
    <t>NEWF</t>
  </si>
  <si>
    <t>Newfoundland</t>
  </si>
  <si>
    <t>NORF</t>
  </si>
  <si>
    <t>Norfolk Terrier</t>
  </si>
  <si>
    <t>NOWT</t>
  </si>
  <si>
    <t>Norwich Terrier</t>
  </si>
  <si>
    <t>NSDT</t>
  </si>
  <si>
    <t>Nova Scotia Duck Tolling Retriever</t>
  </si>
  <si>
    <t>OES</t>
  </si>
  <si>
    <t>Old English Sheepdog</t>
  </si>
  <si>
    <t>OTTR</t>
  </si>
  <si>
    <t>Otterhound</t>
  </si>
  <si>
    <t>PAPI</t>
  </si>
  <si>
    <t>Papillon</t>
  </si>
  <si>
    <t>Phalene</t>
  </si>
  <si>
    <t>PARS</t>
  </si>
  <si>
    <t>Parson Russell Terrier (Jack Russell Terrier)</t>
  </si>
  <si>
    <t>PBGV</t>
  </si>
  <si>
    <t>Basset Griffon Vendeen Petit</t>
  </si>
  <si>
    <t>PEMB</t>
  </si>
  <si>
    <t>Welsh Corgi Pembroke</t>
  </si>
  <si>
    <t>PHAR</t>
  </si>
  <si>
    <t>Pharaoh Hound</t>
  </si>
  <si>
    <t>POM</t>
  </si>
  <si>
    <t>Pomeranian</t>
  </si>
  <si>
    <t>German Spitz (Pomeranian)</t>
  </si>
  <si>
    <t>PTWD</t>
  </si>
  <si>
    <t>Portuguese Water Dog</t>
  </si>
  <si>
    <t>Cao de Agua Portugues</t>
  </si>
  <si>
    <t>PUG</t>
  </si>
  <si>
    <t>Pug</t>
  </si>
  <si>
    <t>PULI</t>
  </si>
  <si>
    <t>Puli medium</t>
  </si>
  <si>
    <t>PUMI</t>
  </si>
  <si>
    <t>Pumi</t>
  </si>
  <si>
    <t>RHOD</t>
  </si>
  <si>
    <t>Rhodesian Ridgeback</t>
  </si>
  <si>
    <t>ROTT</t>
  </si>
  <si>
    <t>Rottweiler</t>
  </si>
  <si>
    <t>SALU</t>
  </si>
  <si>
    <t>Saluki</t>
  </si>
  <si>
    <t>SAMO</t>
  </si>
  <si>
    <t>Samoyed</t>
  </si>
  <si>
    <t>SCOT</t>
  </si>
  <si>
    <t>Scottish Terrier</t>
  </si>
  <si>
    <t>SCWT</t>
  </si>
  <si>
    <t>Irish Soft Coated Wheaten Terrier</t>
  </si>
  <si>
    <t>Soft Coated Wheaten Terrier</t>
  </si>
  <si>
    <t>SHAR</t>
  </si>
  <si>
    <t>Chinese Shar-Pei</t>
  </si>
  <si>
    <t>SHIB</t>
  </si>
  <si>
    <t>Shiba Inu</t>
  </si>
  <si>
    <t>SHIH</t>
  </si>
  <si>
    <t>Shih Tzu</t>
  </si>
  <si>
    <t>SILK</t>
  </si>
  <si>
    <t>Australian Silky Terrier</t>
  </si>
  <si>
    <t>SKIP</t>
  </si>
  <si>
    <t>Schipperke</t>
  </si>
  <si>
    <t>SLOU</t>
  </si>
  <si>
    <t>Sloughi</t>
  </si>
  <si>
    <t>SPIN</t>
  </si>
  <si>
    <t>Spinone Italiano</t>
  </si>
  <si>
    <t>SPOO</t>
  </si>
  <si>
    <t>Poodle standard</t>
  </si>
  <si>
    <t>Caniche standard</t>
  </si>
  <si>
    <t>SSHP</t>
  </si>
  <si>
    <t>Shetland Sheepdog</t>
  </si>
  <si>
    <t>SSNZ</t>
  </si>
  <si>
    <t>Schnauzer Standard</t>
  </si>
  <si>
    <t>STAF</t>
  </si>
  <si>
    <t>Staffordshire Bull Terrier</t>
  </si>
  <si>
    <t>STBD</t>
  </si>
  <si>
    <t>Saint Bernard</t>
  </si>
  <si>
    <t>SVAL</t>
  </si>
  <si>
    <t>Swedish Vallhund</t>
  </si>
  <si>
    <t>TIBM</t>
  </si>
  <si>
    <t>Tibetan Mastiff</t>
  </si>
  <si>
    <t>TIBS</t>
  </si>
  <si>
    <t>Tibetan Spaniel</t>
  </si>
  <si>
    <t>TIBT</t>
  </si>
  <si>
    <t>Tibetan Terrier</t>
  </si>
  <si>
    <t>TPOO</t>
  </si>
  <si>
    <t>Poodle toy</t>
  </si>
  <si>
    <t>Caniche toy</t>
  </si>
  <si>
    <t>TURV</t>
  </si>
  <si>
    <t>Belgian Shepherd (Tervuren)</t>
  </si>
  <si>
    <t>Chien de Berger Belge (Tervuren)</t>
  </si>
  <si>
    <t>VIZS</t>
  </si>
  <si>
    <t>Hungarian Wire Haired Pointer</t>
  </si>
  <si>
    <t>Vizsla</t>
  </si>
  <si>
    <t>VPIN</t>
  </si>
  <si>
    <t>Volpino Italiano</t>
  </si>
  <si>
    <t>WEIM</t>
  </si>
  <si>
    <t>Weimaraner</t>
  </si>
  <si>
    <t>WFOX</t>
  </si>
  <si>
    <t>Fox Terrier (smooth and wire)</t>
  </si>
  <si>
    <t>WHIP</t>
  </si>
  <si>
    <t>Whippet</t>
  </si>
  <si>
    <t>WHWT</t>
  </si>
  <si>
    <t>West Highland White Terrier</t>
  </si>
  <si>
    <t>YORK</t>
  </si>
  <si>
    <t>Yorkshire Terrier</t>
  </si>
  <si>
    <t>Biewer Terrier</t>
  </si>
  <si>
    <t>AESK</t>
  </si>
  <si>
    <t>NA</t>
  </si>
  <si>
    <t>American Eskimo Dog Standard</t>
  </si>
  <si>
    <t>AHRT</t>
  </si>
  <si>
    <t>American Hairless Terrier</t>
  </si>
  <si>
    <t>Hairless Rat Terrier</t>
  </si>
  <si>
    <t>AZWK</t>
  </si>
  <si>
    <t>Azawakh</t>
  </si>
  <si>
    <t>BLDH</t>
  </si>
  <si>
    <t>Bloodhound</t>
  </si>
  <si>
    <t>Chien de Saint Hubert</t>
  </si>
  <si>
    <t>BOER</t>
  </si>
  <si>
    <t>Boerboel</t>
  </si>
  <si>
    <t>CIRN</t>
  </si>
  <si>
    <t>Cirneco dell Etna</t>
  </si>
  <si>
    <t>COOK</t>
  </si>
  <si>
    <t>Chinook</t>
  </si>
  <si>
    <t>CPAT</t>
  </si>
  <si>
    <t>Cane Paratore</t>
  </si>
  <si>
    <t>FOXH</t>
  </si>
  <si>
    <t>American Foxhound</t>
  </si>
  <si>
    <t>HAVA</t>
  </si>
  <si>
    <t>Havanese</t>
  </si>
  <si>
    <t>Bichon Havanais</t>
  </si>
  <si>
    <t>IBIZ</t>
  </si>
  <si>
    <t>Ibizan Podenco</t>
  </si>
  <si>
    <t>Podenco Ibicenco</t>
  </si>
  <si>
    <t>INCA</t>
  </si>
  <si>
    <t>Peruvian Hairless Dog Medium</t>
  </si>
  <si>
    <t>KERY</t>
  </si>
  <si>
    <t>Kerry Blue Terrier</t>
  </si>
  <si>
    <t>LVMD</t>
  </si>
  <si>
    <t>Levriero Meridionale</t>
  </si>
  <si>
    <t>MAAB</t>
  </si>
  <si>
    <t>Mastino Abruzzese</t>
  </si>
  <si>
    <t>MALT</t>
  </si>
  <si>
    <t>Maltese</t>
  </si>
  <si>
    <t>MNTY</t>
  </si>
  <si>
    <t>Manchester Terrier Toy</t>
  </si>
  <si>
    <t>MXOL</t>
  </si>
  <si>
    <t>Xoloitzcuintle minature</t>
  </si>
  <si>
    <t>NEAP</t>
  </si>
  <si>
    <t>Neapolitan Mastiff</t>
  </si>
  <si>
    <t>NGSD</t>
  </si>
  <si>
    <t>New Guinea Singing Dog</t>
  </si>
  <si>
    <t>PEKE</t>
  </si>
  <si>
    <t>Pekingese</t>
  </si>
  <si>
    <t>RATT</t>
  </si>
  <si>
    <t>Rat Terrier standard</t>
  </si>
  <si>
    <t>REDB</t>
  </si>
  <si>
    <t xml:space="preserve">Redbone Coonhound </t>
  </si>
  <si>
    <t>TYFX</t>
  </si>
  <si>
    <t>Fox Terrier Toy</t>
  </si>
  <si>
    <t>WHPG</t>
  </si>
  <si>
    <t>Wire Haired Pointing Griffon</t>
  </si>
  <si>
    <t>XIGO</t>
  </si>
  <si>
    <t>Xigou</t>
  </si>
  <si>
    <t>XOLO</t>
  </si>
  <si>
    <t>Xoloitzcuintle standard</t>
  </si>
  <si>
    <t>Affenpinscher</t>
  </si>
  <si>
    <t>Alapaha Blue Blood Bulldog</t>
  </si>
  <si>
    <t>Alaskan Klee Kai Standard</t>
  </si>
  <si>
    <t>Alpine Dachsbracke</t>
  </si>
  <si>
    <t>Alpenlandische Dachsbracke</t>
  </si>
  <si>
    <t>American Bulldog</t>
  </si>
  <si>
    <t>American English Coonhound</t>
  </si>
  <si>
    <t>American Eskimo Dog Miniature</t>
  </si>
  <si>
    <t>American Eskimo Dog Toy</t>
  </si>
  <si>
    <t>American Leopard Hound</t>
  </si>
  <si>
    <t>American Pit Bull Terrier</t>
  </si>
  <si>
    <t>American Shepherd Miniature</t>
  </si>
  <si>
    <t>North American Shepherd</t>
  </si>
  <si>
    <t>American Water Spaniel</t>
  </si>
  <si>
    <t>Appenzell Cattle Dog</t>
  </si>
  <si>
    <t>Appenzeller Sennenhund</t>
  </si>
  <si>
    <t xml:space="preserve">Ariege Pointer </t>
  </si>
  <si>
    <t>Braque de L'Ariege</t>
  </si>
  <si>
    <t>Ariegeois</t>
  </si>
  <si>
    <t>Artois Hound</t>
  </si>
  <si>
    <t>Chien D'Artois</t>
  </si>
  <si>
    <t>Atlas Mountain Dog</t>
  </si>
  <si>
    <t>Aidi</t>
  </si>
  <si>
    <t xml:space="preserve">Australian Stumpy Tail Cattle Dog </t>
  </si>
  <si>
    <t>Austrian Black and Tan Hound</t>
  </si>
  <si>
    <t>Brandlbracke</t>
  </si>
  <si>
    <t>Austrian Pinscher</t>
  </si>
  <si>
    <t>Auvergne Pointer</t>
  </si>
  <si>
    <t>Braque D'Auvergne</t>
  </si>
  <si>
    <t>Barak Hound</t>
  </si>
  <si>
    <t>Bosanski Ostrodlaki Gonic</t>
  </si>
  <si>
    <t>Basset Fauve de Bretagne</t>
  </si>
  <si>
    <t>Basset Griffon Vendeen Grand</t>
  </si>
  <si>
    <t>Bavarian Mountain Scent Hound</t>
  </si>
  <si>
    <t>Bayerischer Gebirgsschweisshund</t>
  </si>
  <si>
    <t>Beagle Harrier</t>
  </si>
  <si>
    <t>Beauceron</t>
  </si>
  <si>
    <t>Berger de Beauce</t>
  </si>
  <si>
    <t>Belgian Shepherd (Groenendael)</t>
  </si>
  <si>
    <t>Chien de Berger Belge (Groenendael)</t>
  </si>
  <si>
    <t>Belgian Shepherd (Laekenois)</t>
  </si>
  <si>
    <t>Chien de Berger Belge (Laekenois)</t>
  </si>
  <si>
    <t>Bergamasco Shepherd Dog</t>
  </si>
  <si>
    <t>Cane da Pastore Bergamasco</t>
  </si>
  <si>
    <t>Billy</t>
  </si>
  <si>
    <t>Black and Tan Coonhound</t>
  </si>
  <si>
    <t>Coonhound</t>
  </si>
  <si>
    <t>Blue Gascony Basset</t>
  </si>
  <si>
    <t>Basset Bleu de Gascogne</t>
  </si>
  <si>
    <t>Blue Gascony Great</t>
  </si>
  <si>
    <t>Blue Gascony Small</t>
  </si>
  <si>
    <t>Blue Picardy Spaniel</t>
  </si>
  <si>
    <t xml:space="preserve">Bluetick Coonhound </t>
  </si>
  <si>
    <t>Bohemian Shepherd Dog</t>
  </si>
  <si>
    <t>Chodsky Pes</t>
  </si>
  <si>
    <t>Bohemian Wire-Haired Pointing Griffon</t>
  </si>
  <si>
    <t>Ceský Fousek</t>
  </si>
  <si>
    <t>Bolognese</t>
  </si>
  <si>
    <t>Bichon Bolonais</t>
  </si>
  <si>
    <t>Bourbonnais Pointing Dog</t>
  </si>
  <si>
    <t>Braque du Bourbonnais</t>
  </si>
  <si>
    <t>Bouvier des Ardennes</t>
  </si>
  <si>
    <t>Boykin Spaniel</t>
  </si>
  <si>
    <t xml:space="preserve">Brazilian Terrier </t>
  </si>
  <si>
    <t>Broholmer</t>
  </si>
  <si>
    <t>Burgos Pointer</t>
  </si>
  <si>
    <t>Canaan Dog</t>
  </si>
  <si>
    <t>Canadian Eskimo Dog</t>
  </si>
  <si>
    <t>Canary Mastiff</t>
  </si>
  <si>
    <t>Carolina Dog</t>
  </si>
  <si>
    <t>Castro Laboreiro Dog</t>
  </si>
  <si>
    <t>Cao de Castro Laboreiro</t>
  </si>
  <si>
    <t>Catahoula Leopard Dog</t>
  </si>
  <si>
    <t>Catalan Sheepdog</t>
  </si>
  <si>
    <t>Caucasian Shepherd Dog</t>
  </si>
  <si>
    <t>Central Asia Shepherd Dog</t>
  </si>
  <si>
    <t>Cesky Terrier</t>
  </si>
  <si>
    <t>Chesapeake Bay Retriever</t>
  </si>
  <si>
    <t>Clumber Spaniel</t>
  </si>
  <si>
    <t>Coarse-Haired Styrian Hound</t>
  </si>
  <si>
    <t>Cocker Spaniel</t>
  </si>
  <si>
    <t>Collie Rough</t>
  </si>
  <si>
    <t>Collie Smooth</t>
  </si>
  <si>
    <t>Croatian Shepherd Dog</t>
  </si>
  <si>
    <t>Cursinu</t>
  </si>
  <si>
    <t>Czechoslovakian Wolfdog</t>
  </si>
  <si>
    <t>Ceskoslovenský Vlciak</t>
  </si>
  <si>
    <t>Dachshund miniature</t>
  </si>
  <si>
    <t>Dachshund rabbit</t>
  </si>
  <si>
    <t>Dandie Dinmont Terrier</t>
  </si>
  <si>
    <t>Dannish Swedish Farmdog</t>
  </si>
  <si>
    <t>Dogo Argentino</t>
  </si>
  <si>
    <t>Drentsche Partridge Dog</t>
  </si>
  <si>
    <t>Dutch Schapendoes</t>
  </si>
  <si>
    <t>Dutch Shepherd Dog</t>
  </si>
  <si>
    <t>Dutch Smoushond</t>
  </si>
  <si>
    <t>Elkhound Swedish</t>
  </si>
  <si>
    <t>Jamthund</t>
  </si>
  <si>
    <t>English Foxhound</t>
  </si>
  <si>
    <t>English Pointer</t>
  </si>
  <si>
    <t>English Toy Spaniel</t>
  </si>
  <si>
    <t>English Toy Terrier</t>
  </si>
  <si>
    <t>Entlebucher Cattle Dog</t>
  </si>
  <si>
    <t>Estrela Mountain Dog</t>
  </si>
  <si>
    <t>Cao da Serra da Estrela</t>
  </si>
  <si>
    <t>Fawn Brittany Griffon</t>
  </si>
  <si>
    <t>Fila Brasileiro</t>
  </si>
  <si>
    <t>Finnish Hound</t>
  </si>
  <si>
    <t>Finnish Lapponian Dog</t>
  </si>
  <si>
    <t>Flanders Cattle Dog</t>
  </si>
  <si>
    <t>French Pointing Dog (Gascogne)</t>
  </si>
  <si>
    <t>Braque Francais (Gascogne)</t>
  </si>
  <si>
    <t>French Pointing Dog (Pyrenean)</t>
  </si>
  <si>
    <t>Braque Francais (Pyrenees)</t>
  </si>
  <si>
    <t>French Spaniel</t>
  </si>
  <si>
    <t>French Tricolor Hound</t>
  </si>
  <si>
    <t>French Water Dog</t>
  </si>
  <si>
    <t>Barbet</t>
  </si>
  <si>
    <t>French White and Black Hound</t>
  </si>
  <si>
    <t>French White and Orange Hound</t>
  </si>
  <si>
    <t>Frisian Water Dog</t>
  </si>
  <si>
    <t>Gaddi Kutta</t>
  </si>
  <si>
    <t>Himalayan Sheepdog</t>
  </si>
  <si>
    <t>Gascon Saintongeois Grand</t>
  </si>
  <si>
    <t>Gascon Saintongeois Petit</t>
  </si>
  <si>
    <t>German Hound</t>
  </si>
  <si>
    <t>German Hunting Terrier</t>
  </si>
  <si>
    <t>German Long Haired Pointer</t>
  </si>
  <si>
    <t>Deutsch Langhaar</t>
  </si>
  <si>
    <t>German Rough Haired Pointer</t>
  </si>
  <si>
    <t>German Spaniel</t>
  </si>
  <si>
    <t>German Spitz</t>
  </si>
  <si>
    <t>German Spitz (Wolfspitz)</t>
  </si>
  <si>
    <t>German Spitz giant</t>
  </si>
  <si>
    <t>German Spitz Klein</t>
  </si>
  <si>
    <t>German Spitz medium</t>
  </si>
  <si>
    <t>German Spitz miniature</t>
  </si>
  <si>
    <t>German Spitz Mittel</t>
  </si>
  <si>
    <t>German Spitz small</t>
  </si>
  <si>
    <t>Great Anglo-French Tricolor Hound</t>
  </si>
  <si>
    <t>Great Anglo-French White and Black Hound</t>
  </si>
  <si>
    <t>Great Anglo-French White and Orange Hound</t>
  </si>
  <si>
    <t>Griffon Blue de Gascogne</t>
  </si>
  <si>
    <t>Griffon Nivernais</t>
  </si>
  <si>
    <t>Griffon Vendeen Briquet</t>
  </si>
  <si>
    <t>Griffon Vendeen Grand</t>
  </si>
  <si>
    <t>Halden Hound</t>
  </si>
  <si>
    <t>Hallefors Elkhound</t>
  </si>
  <si>
    <t>Halleforshund</t>
  </si>
  <si>
    <t>Hamiltonstovare</t>
  </si>
  <si>
    <t>Hanoverian Scenthound</t>
  </si>
  <si>
    <t>Harrier</t>
  </si>
  <si>
    <t>Hellenic Hound</t>
  </si>
  <si>
    <t>Hellenic Shepherd Dog</t>
  </si>
  <si>
    <t>Hokkaido</t>
  </si>
  <si>
    <t>Hovawart</t>
  </si>
  <si>
    <t>Hungarian Greyhound</t>
  </si>
  <si>
    <t>Hungarian Hound</t>
  </si>
  <si>
    <t>Hygen Hound</t>
  </si>
  <si>
    <t>Irish Red and White Setter</t>
  </si>
  <si>
    <t>Istrian Short Haired Hound</t>
  </si>
  <si>
    <t>Istrian Wire Haired Hound</t>
  </si>
  <si>
    <t>Italian Pointer</t>
  </si>
  <si>
    <t>Bracco Italiano</t>
  </si>
  <si>
    <t>Italian Segugio</t>
  </si>
  <si>
    <t>Japanese Mastiff (Tosa)</t>
  </si>
  <si>
    <t>Tosa</t>
  </si>
  <si>
    <t>Japanese Spitz</t>
  </si>
  <si>
    <t>Japanese Terrier</t>
  </si>
  <si>
    <t>Kai</t>
  </si>
  <si>
    <t>Karelian Bear Dog</t>
  </si>
  <si>
    <t>Karst Shepherd Dog</t>
  </si>
  <si>
    <t>King Charles Spaniel</t>
  </si>
  <si>
    <t>King Shepherd</t>
  </si>
  <si>
    <t>Kintamani-Bali Dog</t>
  </si>
  <si>
    <t>Anjing Kintamani-Bali</t>
  </si>
  <si>
    <t>Kishu</t>
  </si>
  <si>
    <t>Kleiner Munsterlander</t>
  </si>
  <si>
    <t>Kooikerhondje</t>
  </si>
  <si>
    <t>Korean Jindo</t>
  </si>
  <si>
    <t>Kromfohrlander</t>
  </si>
  <si>
    <t>Kyi Leo</t>
  </si>
  <si>
    <t>Lakeland Terrier</t>
  </si>
  <si>
    <t>Lancashire Heeler</t>
  </si>
  <si>
    <t>Landseer</t>
  </si>
  <si>
    <t>Lapponian Herder</t>
  </si>
  <si>
    <t>Little Lion Dog</t>
  </si>
  <si>
    <t>Majorca Mastiff</t>
  </si>
  <si>
    <t>Majorca Shepherd Dog</t>
  </si>
  <si>
    <t>Ca de Bestiar</t>
  </si>
  <si>
    <t>Manchester Terrier Standard</t>
  </si>
  <si>
    <t>Maremma and the Abruzzes Sheepdog</t>
  </si>
  <si>
    <t>Cane da Pastore Maremmano Abruzzese</t>
  </si>
  <si>
    <t>Medium Sized Anglo French Hound</t>
  </si>
  <si>
    <t>Anglo-Francais de Petite Venerie</t>
  </si>
  <si>
    <t>Montenegrin Mountain Hound</t>
  </si>
  <si>
    <t>Crnogorski Planinski Gonic</t>
  </si>
  <si>
    <t>Mountain Cur</t>
  </si>
  <si>
    <t>Mudi</t>
  </si>
  <si>
    <t>New Zealand Huntaway</t>
  </si>
  <si>
    <t>Nordic Spitz</t>
  </si>
  <si>
    <t>Norman Artesien Basset</t>
  </si>
  <si>
    <t>Basset Artesien Normand</t>
  </si>
  <si>
    <t>Norwegian Buhund</t>
  </si>
  <si>
    <t>Norwegian Elkhound Black</t>
  </si>
  <si>
    <t>Norwegian Hound</t>
  </si>
  <si>
    <t>Norwegian Lundehund</t>
  </si>
  <si>
    <t>Old Danish Pointing Dog</t>
  </si>
  <si>
    <t>Olde English Bulldogge</t>
  </si>
  <si>
    <t>Patterdale Terrier</t>
  </si>
  <si>
    <t>Peruvian Hairless Dog Large</t>
  </si>
  <si>
    <t>Peruvian Hairless Dog Small</t>
  </si>
  <si>
    <t>Picardy Spaniel</t>
  </si>
  <si>
    <t>Pinscher</t>
  </si>
  <si>
    <t>German Pinscher</t>
  </si>
  <si>
    <t>Plott Hound</t>
  </si>
  <si>
    <t>Podenco Canario</t>
  </si>
  <si>
    <t>Poitevin</t>
  </si>
  <si>
    <t>Polish Greyhound</t>
  </si>
  <si>
    <t>Chart Polski</t>
  </si>
  <si>
    <t>Polish Hound</t>
  </si>
  <si>
    <t>Polish Hunting Dog</t>
  </si>
  <si>
    <t>Polish Lowland Sheepdog</t>
  </si>
  <si>
    <t>Pont-Audemer Spaniel</t>
  </si>
  <si>
    <t>Porcelaine</t>
  </si>
  <si>
    <t>Portuguese Mastiff</t>
  </si>
  <si>
    <t>Rafeiro do Alentejo</t>
  </si>
  <si>
    <t>Portuguese Podengo large</t>
  </si>
  <si>
    <t>Portuguese Podengo medium</t>
  </si>
  <si>
    <t>Portuguese Podengo pequeno</t>
  </si>
  <si>
    <t>Portuguese Pointing Dog</t>
  </si>
  <si>
    <t>Portuguese Sheepdog</t>
  </si>
  <si>
    <t>Cao da Serra de Aires</t>
  </si>
  <si>
    <t>Posavatz Hound</t>
  </si>
  <si>
    <t>Prague Ratter</t>
  </si>
  <si>
    <t>Presa Canario</t>
  </si>
  <si>
    <t>Pudelpointer</t>
  </si>
  <si>
    <t>Puli dwarf</t>
  </si>
  <si>
    <t>Puli large</t>
  </si>
  <si>
    <t>Pyrenean Mastiff</t>
  </si>
  <si>
    <t>Pyrenean Mountain Dog</t>
  </si>
  <si>
    <t>Chien de Montagne des Pyrenees</t>
  </si>
  <si>
    <t>Pyrenean Sheepdog</t>
  </si>
  <si>
    <t>Chien de Berger des Pyrenees</t>
  </si>
  <si>
    <t>Rampur Greyhound</t>
  </si>
  <si>
    <t>Rat Terrier miniature</t>
  </si>
  <si>
    <t>Romagna Water Dog</t>
  </si>
  <si>
    <t>Romanian Bucovina Shepherd Dog</t>
  </si>
  <si>
    <t>Ciobanesc Romanesc de Bucovina</t>
  </si>
  <si>
    <t>Romanian Carpathian Shepherd Dog</t>
  </si>
  <si>
    <t>Ciobanesc Romanesc Carpatin</t>
  </si>
  <si>
    <t>Romanian Mioritic Shepherd Dog</t>
  </si>
  <si>
    <t>Ciobanesc Romanesc Mioritic</t>
  </si>
  <si>
    <t>Russell Terrier</t>
  </si>
  <si>
    <t>Russian European Laika</t>
  </si>
  <si>
    <t>Russian Toy</t>
  </si>
  <si>
    <t>Russian Tsvetnaya Bolonka</t>
  </si>
  <si>
    <t>Saarloos Wolfdog</t>
  </si>
  <si>
    <t>Saint Germain Pointer</t>
  </si>
  <si>
    <t>Braque Saint Germain</t>
  </si>
  <si>
    <t>Saint Miguel Cattle Dog</t>
  </si>
  <si>
    <t>Cao Fila de Sao Miguel</t>
  </si>
  <si>
    <t>Schapendoes</t>
  </si>
  <si>
    <t>Schillerstövare</t>
  </si>
  <si>
    <t>Scottish Sheepdog</t>
  </si>
  <si>
    <t>Sealyham Terrier</t>
  </si>
  <si>
    <t>Segugio dell Appennino</t>
  </si>
  <si>
    <t>Segugio Maremmano</t>
  </si>
  <si>
    <t>Serbian Hound</t>
  </si>
  <si>
    <t>Serbian Tricolored Hound</t>
  </si>
  <si>
    <t>Shar Pei</t>
  </si>
  <si>
    <t>Shikoku</t>
  </si>
  <si>
    <t>Siberian Laika East</t>
  </si>
  <si>
    <t>Siberian Laika West</t>
  </si>
  <si>
    <t>Skye Terrier</t>
  </si>
  <si>
    <t>Slovakian Chuvach</t>
  </si>
  <si>
    <t>Slovakian Hound</t>
  </si>
  <si>
    <t>Slovakian Wirehaired Pointer</t>
  </si>
  <si>
    <t>Smaland Hound</t>
  </si>
  <si>
    <t>Smalandsstovare</t>
  </si>
  <si>
    <t>South Russian Shepherd Dog</t>
  </si>
  <si>
    <t>Spanish Greyhound</t>
  </si>
  <si>
    <t>Spanish Hound</t>
  </si>
  <si>
    <t>Spanish Mastiff</t>
  </si>
  <si>
    <t>Spanish Water Dog</t>
  </si>
  <si>
    <t>Stabijhoun</t>
  </si>
  <si>
    <t>Sussex Spaniel</t>
  </si>
  <si>
    <t>Swedish Dachsbracke</t>
  </si>
  <si>
    <t>Drever</t>
  </si>
  <si>
    <t>Swedish Lapphund</t>
  </si>
  <si>
    <t>Swiss Hound (Bruno Jura Hound)</t>
  </si>
  <si>
    <t>Swiss Hound (Laufhund)</t>
  </si>
  <si>
    <t>Swiss Hound (Lucerne Hound)</t>
  </si>
  <si>
    <t>Swiss Hound (Niederlaufhund)</t>
  </si>
  <si>
    <t>Swiss Hound (Schwyz Hound)</t>
  </si>
  <si>
    <t>Taiwan Dog</t>
  </si>
  <si>
    <t>Tatra Shepherd Dog</t>
  </si>
  <si>
    <t>Teddy Roosevelt Terrier</t>
  </si>
  <si>
    <t>Thai Bangkaew Dog</t>
  </si>
  <si>
    <t>Thai Ridgeback</t>
  </si>
  <si>
    <t>Tibetan Kyi Apso</t>
  </si>
  <si>
    <t>Tornjak</t>
  </si>
  <si>
    <t>Treeing Tennessee Brindle</t>
  </si>
  <si>
    <t>Treeing Walker Coonhound</t>
  </si>
  <si>
    <t>Tyrolean Hound</t>
  </si>
  <si>
    <t>Uruguayan Cimarron</t>
  </si>
  <si>
    <t>Cimarrón Uruguayo</t>
  </si>
  <si>
    <t>Welsh Springer Spaniel</t>
  </si>
  <si>
    <t>Welsh Terrier</t>
  </si>
  <si>
    <t>Westphalian Dachsbracke</t>
  </si>
  <si>
    <t>White Swiss Shepherd Dog</t>
  </si>
  <si>
    <t>Berger Blanc Suisse</t>
  </si>
  <si>
    <t>Xoloitzcuintle toy</t>
  </si>
  <si>
    <t>Yakutian Laika</t>
  </si>
  <si>
    <t>Yugoslavian Shepherd Dog</t>
  </si>
  <si>
    <t>Sarplaninac</t>
  </si>
  <si>
    <t>wSpeakman2003</t>
  </si>
  <si>
    <t>wKraus2013</t>
  </si>
  <si>
    <t>wGerstner2010</t>
  </si>
  <si>
    <t>wHawthorne2004</t>
  </si>
  <si>
    <t>wCareau2010</t>
  </si>
  <si>
    <t>lLeroy2015b</t>
  </si>
  <si>
    <t>lONeill2013</t>
  </si>
  <si>
    <t>lMichell1999</t>
  </si>
  <si>
    <t>lsLeroy2015</t>
  </si>
  <si>
    <t>lsOkkens1993</t>
  </si>
  <si>
    <t>lsSchrack2017</t>
  </si>
  <si>
    <t>lsGroppetti2015</t>
  </si>
  <si>
    <t>lsBorge2011</t>
  </si>
  <si>
    <t>lsNielen2000</t>
  </si>
  <si>
    <t>lsOgrak2009</t>
  </si>
  <si>
    <t>lsWildt1982</t>
  </si>
  <si>
    <t>lsYilmaz2007</t>
  </si>
  <si>
    <t>lsMila2015</t>
  </si>
  <si>
    <t>lsThomassen2006</t>
  </si>
  <si>
    <t>lsGoleman2015</t>
  </si>
  <si>
    <t>lsGubbels2008</t>
  </si>
  <si>
    <t>bwFan2016</t>
  </si>
  <si>
    <t>bwYlmaz2007</t>
  </si>
  <si>
    <t>wFan2016</t>
  </si>
  <si>
    <t>breed</t>
  </si>
  <si>
    <t>synonym</t>
  </si>
  <si>
    <t>w1AKC</t>
  </si>
  <si>
    <t>w2AKC</t>
  </si>
  <si>
    <t>w1Bell</t>
  </si>
  <si>
    <t>w2Bell</t>
  </si>
  <si>
    <t>w1malesAKC</t>
  </si>
  <si>
    <t>w2malesAKC</t>
  </si>
  <si>
    <t>w1malesBell</t>
  </si>
  <si>
    <t>w2malesBell</t>
  </si>
  <si>
    <t>w1femalesAKC</t>
  </si>
  <si>
    <t>w2femalesAKC</t>
  </si>
  <si>
    <t>w1femalesBell</t>
  </si>
  <si>
    <t>w2femalesBell</t>
  </si>
  <si>
    <t>wAKC</t>
  </si>
  <si>
    <t>wAKCmales</t>
  </si>
  <si>
    <t>wAKCfemales</t>
  </si>
  <si>
    <t>wBell2012</t>
  </si>
  <si>
    <t>wBellmales</t>
  </si>
  <si>
    <t>wBellfemales</t>
  </si>
  <si>
    <t>wFan2016males</t>
  </si>
  <si>
    <t>wFan2016females</t>
  </si>
  <si>
    <t>weightpapers</t>
  </si>
  <si>
    <t>weight</t>
  </si>
  <si>
    <t>l1AKC</t>
  </si>
  <si>
    <t>lAKC</t>
  </si>
  <si>
    <t>l2AKC</t>
  </si>
  <si>
    <t>l1Bell</t>
  </si>
  <si>
    <t>l2Bell</t>
  </si>
  <si>
    <t>lBell</t>
  </si>
  <si>
    <t>lsClark2017</t>
  </si>
  <si>
    <t>lsBell2012</t>
  </si>
  <si>
    <t>lspapers</t>
  </si>
  <si>
    <t>littersize</t>
  </si>
  <si>
    <t>bwClark2017</t>
  </si>
  <si>
    <t>malesperlitterGubbels2008</t>
  </si>
  <si>
    <t>femalesperlitterGubbels2008</t>
  </si>
  <si>
    <t>bwGroppetti2015</t>
  </si>
  <si>
    <t>bwGroppetti2017</t>
  </si>
  <si>
    <t>lsGroppetti2017</t>
  </si>
  <si>
    <t>bwFan2016males</t>
  </si>
  <si>
    <t>bwFan2016females</t>
  </si>
  <si>
    <t>bwpapers</t>
  </si>
  <si>
    <t>bwpaperskg</t>
  </si>
  <si>
    <t>bw</t>
  </si>
  <si>
    <t>bwkg</t>
  </si>
  <si>
    <t>lifespan</t>
  </si>
  <si>
    <t>abrevParker2017</t>
  </si>
  <si>
    <t>abrevGaramszegi2019</t>
  </si>
  <si>
    <t>bwkgxls</t>
  </si>
  <si>
    <t>weightcompendia</t>
  </si>
  <si>
    <t>lcompendia</t>
  </si>
  <si>
    <t>lpapers</t>
  </si>
  <si>
    <t>lswebsite1</t>
  </si>
  <si>
    <t>lswebsite2</t>
  </si>
  <si>
    <t>lscompendia</t>
  </si>
  <si>
    <t>bwcompendia</t>
  </si>
  <si>
    <t>growth</t>
  </si>
  <si>
    <t>outlier</t>
  </si>
  <si>
    <t>expgr</t>
  </si>
  <si>
    <t>grHawthorne2004</t>
  </si>
  <si>
    <t>grPosadas2014</t>
  </si>
  <si>
    <t>T99</t>
  </si>
  <si>
    <t>T99Hawthorne2004</t>
  </si>
  <si>
    <t>T99Posadas2014</t>
  </si>
  <si>
    <t>weight data in kg</t>
  </si>
  <si>
    <t>lifespan data in years</t>
  </si>
  <si>
    <t>litter size data</t>
  </si>
  <si>
    <t>neonate weight data</t>
  </si>
  <si>
    <t>minimum and maximum AKC weights</t>
  </si>
  <si>
    <t>minimum and maximum Bell et al. 2012 weights</t>
  </si>
  <si>
    <t>minimum and maximum AKC male weights</t>
  </si>
  <si>
    <t>minimum and maximum Bell et al. 2012 male weights</t>
  </si>
  <si>
    <t>minimum and maximum AKC female weights</t>
  </si>
  <si>
    <t>minimum and maximum bell et al. 2012 female weights</t>
  </si>
  <si>
    <t>AKC average weights in kg</t>
  </si>
  <si>
    <t>AKC male and female average weights</t>
  </si>
  <si>
    <t>Bell et al. 2012 average weights</t>
  </si>
  <si>
    <t>Bell et al. 2012 male and female average weights</t>
  </si>
  <si>
    <t>weight data from Fan et al. 2016</t>
  </si>
  <si>
    <t>weight data form Speakman et al. 2003</t>
  </si>
  <si>
    <t>weight data from Kraus et al. 2013</t>
  </si>
  <si>
    <t>weight data from Gerstner et al. 2010</t>
  </si>
  <si>
    <t>weight data from Hawthorne et al. 2004</t>
  </si>
  <si>
    <t>weight data from Careau et al. 2010</t>
  </si>
  <si>
    <t>weight data from AKC and Bell et al. 2012</t>
  </si>
  <si>
    <t>weight data from papers (Fan et al. 2016, Speakman et al. 2003, Kraus et al. 2013, Gerstner et al. 2010, Hawthorne et al. 2004 and Careau et al. 2010)</t>
  </si>
  <si>
    <t>average weight (compendia + papers)</t>
  </si>
  <si>
    <t>minimum, maximum and average lifespan data from AKC and Bell et al. 2012</t>
  </si>
  <si>
    <t>lifespan data from Leroy et al. 2015, ONeill et al. 2013 and Michell et al. 1999</t>
  </si>
  <si>
    <t>lifespan data from AKC and Bell et al. 2012</t>
  </si>
  <si>
    <t>lifespan data on Leroy, Oneill and Michell papers</t>
  </si>
  <si>
    <t>lifespan data</t>
  </si>
  <si>
    <t>ls=litter size from cited papers</t>
  </si>
  <si>
    <t>litter sizes from cited websites</t>
  </si>
  <si>
    <t>litter sizes from books</t>
  </si>
  <si>
    <t>litter sizes from papers</t>
  </si>
  <si>
    <t>litter size from Gubbels et al. 2008, which were separated by sex</t>
  </si>
  <si>
    <t>bw=birth weight=neonate weight from cited book</t>
  </si>
  <si>
    <t>bw=birth weight=neonate weight from cited papers</t>
  </si>
  <si>
    <t>neonate weight from Fan et al. 2016, which were separated by sex</t>
  </si>
  <si>
    <t>neonate weight from book (Clark et al. 2017)</t>
  </si>
  <si>
    <t>average neonate weight from cited papers</t>
  </si>
  <si>
    <t>average paper neonate weights in kg</t>
  </si>
  <si>
    <t>average neonate weight in g</t>
  </si>
  <si>
    <t>average neonate weights in kg (all sources)</t>
  </si>
  <si>
    <t>time to reach 99% od adult weight</t>
  </si>
  <si>
    <t>exponential growth rate</t>
  </si>
  <si>
    <t xml:space="preserve">growth data from Hawthorne et al. (2004) and Posada et al. (2014) </t>
  </si>
  <si>
    <t>common breed name and synonym (if any)</t>
  </si>
  <si>
    <t>abbreviations from Parker et al. 2017 and Garamszegi et al. 2020</t>
  </si>
  <si>
    <t>ls=litter size from cited compendia (books)</t>
  </si>
  <si>
    <t>reproductive investment = birth weight in kg (bwkg) multiplied by litter sizes (ls) = bwkgxls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</si>
</sst>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 ;[Red]\-0.000\ "/>
    <numFmt numFmtId="165" formatCode="0.0000;\-0.0000;;@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0" fillId="0" borderId="0" xfId="0" applyFill="1" applyAlignment="1"/>
    <xf numFmtId="0" fontId="0" fillId="0" borderId="0" xfId="0" applyAlignment="1"/>
    <xf numFmtId="164" fontId="0" fillId="0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/>
    <xf numFmtId="164" fontId="2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/>
    <xf numFmtId="164" fontId="3" fillId="0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7E4D5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431"/>
  <sheetViews>
    <sheetView tabSelected="1" topLeftCell="AD1" zoomScale="85" zoomScaleNormal="85" workbookViewId="0">
      <selection activeCell="CC16" sqref="CC16"/>
    </sheetView>
  </sheetViews>
  <sheetFormatPr defaultColWidth="9.109375" defaultRowHeight="14.4" x14ac:dyDescent="0.3"/>
  <cols>
    <col min="1" max="1" width="8.77734375" style="8" customWidth="1"/>
    <col min="2" max="2" width="8.77734375" style="11" customWidth="1"/>
    <col min="3" max="3" width="30.77734375" style="11" customWidth="1"/>
    <col min="4" max="4" width="30.77734375" style="8" customWidth="1"/>
    <col min="5" max="16" width="8.77734375" style="8" customWidth="1"/>
    <col min="17" max="17" width="8.77734375" style="11" customWidth="1"/>
    <col min="18" max="44" width="8.77734375" style="8" customWidth="1"/>
    <col min="45" max="45" width="8.77734375" style="11" customWidth="1"/>
    <col min="46" max="65" width="8.77734375" style="8" customWidth="1"/>
    <col min="66" max="66" width="8.77734375" style="11" customWidth="1"/>
    <col min="67" max="79" width="8.77734375" style="8" customWidth="1"/>
    <col min="80" max="81" width="8.77734375" style="11" customWidth="1"/>
    <col min="82" max="87" width="8.77734375" style="22" customWidth="1"/>
    <col min="88" max="88" width="8.77734375" style="11" customWidth="1"/>
  </cols>
  <sheetData>
    <row r="1" spans="1:160" x14ac:dyDescent="0.3">
      <c r="A1" s="31" t="s">
        <v>813</v>
      </c>
      <c r="B1" s="32"/>
      <c r="C1" s="35" t="s">
        <v>812</v>
      </c>
      <c r="D1" s="36"/>
      <c r="E1" s="28" t="s">
        <v>768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29"/>
      <c r="AH1" s="28" t="s">
        <v>769</v>
      </c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29"/>
      <c r="AT1" s="28" t="s">
        <v>770</v>
      </c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29"/>
      <c r="BQ1" s="28" t="s">
        <v>771</v>
      </c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29"/>
      <c r="CC1" s="26" t="s">
        <v>815</v>
      </c>
      <c r="CD1" s="24" t="s">
        <v>811</v>
      </c>
      <c r="CE1" s="24"/>
      <c r="CF1" s="24"/>
      <c r="CG1" s="24"/>
      <c r="CH1" s="24"/>
      <c r="CI1" s="24"/>
      <c r="CJ1" s="23" t="s">
        <v>760</v>
      </c>
    </row>
    <row r="2" spans="1:160" x14ac:dyDescent="0.3">
      <c r="A2" s="33"/>
      <c r="B2" s="34"/>
      <c r="C2" s="37"/>
      <c r="D2" s="38"/>
      <c r="E2" s="28" t="s">
        <v>772</v>
      </c>
      <c r="F2" s="29"/>
      <c r="G2" s="28" t="s">
        <v>773</v>
      </c>
      <c r="H2" s="29"/>
      <c r="I2" s="28" t="s">
        <v>774</v>
      </c>
      <c r="J2" s="29"/>
      <c r="K2" s="28" t="s">
        <v>775</v>
      </c>
      <c r="L2" s="29"/>
      <c r="M2" s="28" t="s">
        <v>776</v>
      </c>
      <c r="N2" s="29"/>
      <c r="O2" s="28" t="s">
        <v>777</v>
      </c>
      <c r="P2" s="29"/>
      <c r="Q2" s="14" t="s">
        <v>778</v>
      </c>
      <c r="R2" s="28" t="s">
        <v>779</v>
      </c>
      <c r="S2" s="29"/>
      <c r="T2" s="15" t="s">
        <v>780</v>
      </c>
      <c r="U2" s="30" t="s">
        <v>781</v>
      </c>
      <c r="V2" s="29"/>
      <c r="W2" s="28" t="s">
        <v>782</v>
      </c>
      <c r="X2" s="30"/>
      <c r="Y2" s="29"/>
      <c r="Z2" s="16" t="s">
        <v>783</v>
      </c>
      <c r="AA2" s="16" t="s">
        <v>784</v>
      </c>
      <c r="AB2" s="16" t="s">
        <v>785</v>
      </c>
      <c r="AC2" s="16" t="s">
        <v>786</v>
      </c>
      <c r="AD2" s="16" t="s">
        <v>787</v>
      </c>
      <c r="AE2" s="16" t="s">
        <v>788</v>
      </c>
      <c r="AF2" s="16" t="s">
        <v>789</v>
      </c>
      <c r="AG2" s="16" t="s">
        <v>790</v>
      </c>
      <c r="AH2" s="28" t="s">
        <v>791</v>
      </c>
      <c r="AI2" s="30"/>
      <c r="AJ2" s="30"/>
      <c r="AK2" s="30"/>
      <c r="AL2" s="30"/>
      <c r="AM2" s="29"/>
      <c r="AN2" s="28" t="s">
        <v>792</v>
      </c>
      <c r="AO2" s="30"/>
      <c r="AP2" s="29"/>
      <c r="AQ2" s="16" t="s">
        <v>793</v>
      </c>
      <c r="AR2" s="16" t="s">
        <v>794</v>
      </c>
      <c r="AS2" s="14" t="s">
        <v>795</v>
      </c>
      <c r="AT2" s="28" t="s">
        <v>814</v>
      </c>
      <c r="AU2" s="30"/>
      <c r="AV2" s="30" t="s">
        <v>796</v>
      </c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29"/>
      <c r="BJ2" s="28" t="s">
        <v>797</v>
      </c>
      <c r="BK2" s="30"/>
      <c r="BL2" s="17" t="s">
        <v>798</v>
      </c>
      <c r="BM2" s="16" t="s">
        <v>799</v>
      </c>
      <c r="BN2" s="14" t="s">
        <v>770</v>
      </c>
      <c r="BO2" s="28" t="s">
        <v>800</v>
      </c>
      <c r="BP2" s="29"/>
      <c r="BQ2" s="16" t="s">
        <v>801</v>
      </c>
      <c r="BR2" s="28" t="s">
        <v>802</v>
      </c>
      <c r="BS2" s="30"/>
      <c r="BT2" s="30"/>
      <c r="BU2" s="29"/>
      <c r="BV2" s="28" t="s">
        <v>803</v>
      </c>
      <c r="BW2" s="29"/>
      <c r="BX2" s="16" t="s">
        <v>804</v>
      </c>
      <c r="BY2" s="16" t="s">
        <v>805</v>
      </c>
      <c r="BZ2" s="16" t="s">
        <v>806</v>
      </c>
      <c r="CA2" s="16" t="s">
        <v>807</v>
      </c>
      <c r="CB2" s="14" t="s">
        <v>808</v>
      </c>
      <c r="CC2" s="27"/>
      <c r="CD2" s="25" t="s">
        <v>810</v>
      </c>
      <c r="CE2" s="25"/>
      <c r="CF2" s="25"/>
      <c r="CG2" s="24" t="s">
        <v>809</v>
      </c>
      <c r="CH2" s="24"/>
      <c r="CI2" s="24"/>
      <c r="CJ2" s="23"/>
    </row>
    <row r="3" spans="1:160" s="5" customFormat="1" x14ac:dyDescent="0.3">
      <c r="A3" s="18" t="s">
        <v>750</v>
      </c>
      <c r="B3" s="19" t="s">
        <v>751</v>
      </c>
      <c r="C3" s="19" t="s">
        <v>703</v>
      </c>
      <c r="D3" s="18" t="s">
        <v>704</v>
      </c>
      <c r="E3" s="20" t="s">
        <v>705</v>
      </c>
      <c r="F3" s="20" t="s">
        <v>706</v>
      </c>
      <c r="G3" s="20" t="s">
        <v>707</v>
      </c>
      <c r="H3" s="20" t="s">
        <v>708</v>
      </c>
      <c r="I3" s="18" t="s">
        <v>709</v>
      </c>
      <c r="J3" s="18" t="s">
        <v>710</v>
      </c>
      <c r="K3" s="18" t="s">
        <v>711</v>
      </c>
      <c r="L3" s="18" t="s">
        <v>712</v>
      </c>
      <c r="M3" s="18" t="s">
        <v>713</v>
      </c>
      <c r="N3" s="18" t="s">
        <v>714</v>
      </c>
      <c r="O3" s="18" t="s">
        <v>715</v>
      </c>
      <c r="P3" s="18" t="s">
        <v>716</v>
      </c>
      <c r="Q3" s="19" t="s">
        <v>717</v>
      </c>
      <c r="R3" s="18" t="s">
        <v>718</v>
      </c>
      <c r="S3" s="18" t="s">
        <v>719</v>
      </c>
      <c r="T3" s="18" t="s">
        <v>720</v>
      </c>
      <c r="U3" s="18" t="s">
        <v>721</v>
      </c>
      <c r="V3" s="18" t="s">
        <v>722</v>
      </c>
      <c r="W3" s="18" t="s">
        <v>702</v>
      </c>
      <c r="X3" s="18" t="s">
        <v>723</v>
      </c>
      <c r="Y3" s="18" t="s">
        <v>724</v>
      </c>
      <c r="Z3" s="18" t="s">
        <v>679</v>
      </c>
      <c r="AA3" s="18" t="s">
        <v>680</v>
      </c>
      <c r="AB3" s="18" t="s">
        <v>681</v>
      </c>
      <c r="AC3" s="18" t="s">
        <v>682</v>
      </c>
      <c r="AD3" s="18" t="s">
        <v>683</v>
      </c>
      <c r="AE3" s="18" t="s">
        <v>753</v>
      </c>
      <c r="AF3" s="18" t="s">
        <v>725</v>
      </c>
      <c r="AG3" s="18" t="s">
        <v>726</v>
      </c>
      <c r="AH3" s="18" t="s">
        <v>727</v>
      </c>
      <c r="AI3" s="18" t="s">
        <v>729</v>
      </c>
      <c r="AJ3" s="18" t="s">
        <v>730</v>
      </c>
      <c r="AK3" s="18" t="s">
        <v>731</v>
      </c>
      <c r="AL3" s="18" t="s">
        <v>728</v>
      </c>
      <c r="AM3" s="18" t="s">
        <v>732</v>
      </c>
      <c r="AN3" s="18" t="s">
        <v>684</v>
      </c>
      <c r="AO3" s="18" t="s">
        <v>685</v>
      </c>
      <c r="AP3" s="18" t="s">
        <v>686</v>
      </c>
      <c r="AQ3" s="18" t="s">
        <v>754</v>
      </c>
      <c r="AR3" s="18" t="s">
        <v>755</v>
      </c>
      <c r="AS3" s="19" t="s">
        <v>749</v>
      </c>
      <c r="AT3" s="18" t="s">
        <v>733</v>
      </c>
      <c r="AU3" s="18" t="s">
        <v>734</v>
      </c>
      <c r="AV3" s="18" t="s">
        <v>687</v>
      </c>
      <c r="AW3" s="18" t="s">
        <v>688</v>
      </c>
      <c r="AX3" s="18" t="s">
        <v>689</v>
      </c>
      <c r="AY3" s="18" t="s">
        <v>690</v>
      </c>
      <c r="AZ3" s="18" t="s">
        <v>691</v>
      </c>
      <c r="BA3" s="18" t="s">
        <v>692</v>
      </c>
      <c r="BB3" s="18" t="s">
        <v>693</v>
      </c>
      <c r="BC3" s="18" t="s">
        <v>694</v>
      </c>
      <c r="BD3" s="18" t="s">
        <v>695</v>
      </c>
      <c r="BE3" s="18" t="s">
        <v>742</v>
      </c>
      <c r="BF3" s="18" t="s">
        <v>696</v>
      </c>
      <c r="BG3" s="18" t="s">
        <v>697</v>
      </c>
      <c r="BH3" s="18" t="s">
        <v>698</v>
      </c>
      <c r="BI3" s="18" t="s">
        <v>699</v>
      </c>
      <c r="BJ3" s="18" t="s">
        <v>756</v>
      </c>
      <c r="BK3" s="18" t="s">
        <v>757</v>
      </c>
      <c r="BL3" s="18" t="s">
        <v>758</v>
      </c>
      <c r="BM3" s="18" t="s">
        <v>735</v>
      </c>
      <c r="BN3" s="19" t="s">
        <v>736</v>
      </c>
      <c r="BO3" s="18" t="s">
        <v>738</v>
      </c>
      <c r="BP3" s="18" t="s">
        <v>739</v>
      </c>
      <c r="BQ3" s="18" t="s">
        <v>737</v>
      </c>
      <c r="BR3" s="18" t="s">
        <v>700</v>
      </c>
      <c r="BS3" s="18" t="s">
        <v>701</v>
      </c>
      <c r="BT3" s="18" t="s">
        <v>741</v>
      </c>
      <c r="BU3" s="18" t="s">
        <v>740</v>
      </c>
      <c r="BV3" s="18" t="s">
        <v>743</v>
      </c>
      <c r="BW3" s="18" t="s">
        <v>744</v>
      </c>
      <c r="BX3" s="18" t="s">
        <v>759</v>
      </c>
      <c r="BY3" s="18" t="s">
        <v>745</v>
      </c>
      <c r="BZ3" s="18" t="s">
        <v>746</v>
      </c>
      <c r="CA3" s="18" t="s">
        <v>747</v>
      </c>
      <c r="CB3" s="19" t="s">
        <v>748</v>
      </c>
      <c r="CC3" s="21" t="s">
        <v>752</v>
      </c>
      <c r="CD3" s="18" t="s">
        <v>763</v>
      </c>
      <c r="CE3" s="18" t="s">
        <v>764</v>
      </c>
      <c r="CF3" s="18" t="s">
        <v>762</v>
      </c>
      <c r="CG3" s="18" t="s">
        <v>766</v>
      </c>
      <c r="CH3" s="18" t="s">
        <v>767</v>
      </c>
      <c r="CI3" s="18" t="s">
        <v>765</v>
      </c>
      <c r="CJ3" s="21" t="s">
        <v>760</v>
      </c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</row>
    <row r="4" spans="1:160" x14ac:dyDescent="0.3">
      <c r="A4" s="6" t="s">
        <v>0</v>
      </c>
      <c r="B4" s="10" t="s">
        <v>0</v>
      </c>
      <c r="C4" s="10" t="s">
        <v>1</v>
      </c>
      <c r="D4" s="6" t="s">
        <v>1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  <c r="AA4" s="1">
        <v>10</v>
      </c>
      <c r="AB4" s="1"/>
      <c r="AC4" s="6"/>
      <c r="AD4" s="1"/>
      <c r="AE4" s="1"/>
      <c r="AF4" s="1">
        <f t="shared" ref="AF4:AF9" si="0">AVERAGE(X4:AD4)</f>
        <v>10</v>
      </c>
      <c r="AG4" s="1">
        <f t="shared" ref="AG4:AG35" si="1">AVERAGE(AE4:AF4)</f>
        <v>10</v>
      </c>
      <c r="AH4" s="1"/>
      <c r="AI4" s="1"/>
      <c r="AJ4" s="1"/>
      <c r="AK4" s="1"/>
      <c r="AL4" s="1"/>
      <c r="AM4" s="1"/>
      <c r="AN4" s="1"/>
      <c r="AO4" s="1"/>
      <c r="AP4" s="1">
        <v>12.5</v>
      </c>
      <c r="AQ4" s="1"/>
      <c r="AR4" s="1">
        <f>AVERAGE(AN4:AP4)</f>
        <v>12.5</v>
      </c>
      <c r="AS4" s="12">
        <f t="shared" ref="AS4:AS35" si="2">AVERAGE(AN4:AQ4)</f>
        <v>12.5</v>
      </c>
      <c r="AT4" s="1"/>
      <c r="AU4" s="1"/>
      <c r="AV4" s="1"/>
      <c r="AW4" s="1"/>
      <c r="AX4" s="1"/>
      <c r="AY4" s="1"/>
      <c r="AZ4" s="1">
        <v>5.3</v>
      </c>
      <c r="BA4" s="1"/>
      <c r="BB4" s="1"/>
      <c r="BC4" s="1"/>
      <c r="BD4" s="1"/>
      <c r="BE4" s="1">
        <v>6</v>
      </c>
      <c r="BF4" s="1"/>
      <c r="BG4" s="1"/>
      <c r="BH4" s="1"/>
      <c r="BI4" s="1"/>
      <c r="BJ4" s="1"/>
      <c r="BK4" s="1"/>
      <c r="BL4" s="1"/>
      <c r="BM4" s="1">
        <f>AVERAGE(AV4:BI4)</f>
        <v>5.65</v>
      </c>
      <c r="BN4" s="12">
        <f t="shared" ref="BN4:BN44" si="3">AVERAGE(AT4:BK4)</f>
        <v>5.65</v>
      </c>
      <c r="BO4" s="1"/>
      <c r="BP4" s="1"/>
      <c r="BQ4" s="1"/>
      <c r="BR4" s="1"/>
      <c r="BS4" s="1"/>
      <c r="BT4" s="1">
        <v>200</v>
      </c>
      <c r="BU4" s="1"/>
      <c r="BV4" s="1"/>
      <c r="BW4" s="1"/>
      <c r="BX4" s="1"/>
      <c r="BY4" s="1">
        <f t="shared" ref="BY4:BY12" si="4">AVERAGE(BR4:BU4)</f>
        <v>200</v>
      </c>
      <c r="BZ4" s="1">
        <f t="shared" ref="BZ4:BZ12" si="5">BY4/1000</f>
        <v>0.2</v>
      </c>
      <c r="CA4" s="1">
        <f t="shared" ref="CA4:CA15" si="6">AVERAGE(BQ4:BU4)</f>
        <v>200</v>
      </c>
      <c r="CB4" s="12">
        <f t="shared" ref="CB4:CB15" si="7">CA4/1000</f>
        <v>0.2</v>
      </c>
      <c r="CC4" s="13">
        <f t="shared" ref="CC4:CC18" si="8">CB4*BN4</f>
        <v>1.1300000000000001</v>
      </c>
      <c r="CD4" s="6"/>
      <c r="CE4" s="6"/>
      <c r="CF4" s="6"/>
      <c r="CG4" s="6"/>
      <c r="CH4" s="6"/>
      <c r="CI4" s="6"/>
      <c r="CJ4" s="13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x14ac:dyDescent="0.3">
      <c r="A5" s="6" t="s">
        <v>2</v>
      </c>
      <c r="B5" s="10" t="s">
        <v>2</v>
      </c>
      <c r="C5" s="10" t="s">
        <v>3</v>
      </c>
      <c r="D5" s="9" t="s">
        <v>4</v>
      </c>
      <c r="E5" s="7">
        <v>22.679600000000001</v>
      </c>
      <c r="F5" s="7">
        <v>27.215520000000001</v>
      </c>
      <c r="G5" s="7">
        <v>17</v>
      </c>
      <c r="H5" s="7">
        <v>36</v>
      </c>
      <c r="I5" s="1"/>
      <c r="J5" s="1"/>
      <c r="K5" s="1">
        <v>27</v>
      </c>
      <c r="L5" s="1"/>
      <c r="M5" s="1"/>
      <c r="N5" s="1"/>
      <c r="O5" s="1">
        <v>23</v>
      </c>
      <c r="P5" s="1"/>
      <c r="Q5" s="12">
        <v>24.947559999999999</v>
      </c>
      <c r="R5" s="1"/>
      <c r="S5" s="1"/>
      <c r="T5" s="1">
        <v>25.75</v>
      </c>
      <c r="U5" s="1">
        <v>27</v>
      </c>
      <c r="V5" s="1">
        <v>23</v>
      </c>
      <c r="W5" s="1"/>
      <c r="X5" s="1"/>
      <c r="Y5" s="1"/>
      <c r="Z5" s="1"/>
      <c r="AA5" s="1">
        <v>28</v>
      </c>
      <c r="AB5" s="1">
        <v>22.23</v>
      </c>
      <c r="AC5" s="1"/>
      <c r="AD5" s="1">
        <v>22.68</v>
      </c>
      <c r="AE5" s="1">
        <f t="shared" ref="AE5:AE36" si="9">AVERAGE(E5:P5)</f>
        <v>25.482520000000005</v>
      </c>
      <c r="AF5" s="1">
        <f t="shared" si="0"/>
        <v>24.303333333333331</v>
      </c>
      <c r="AG5" s="1">
        <f t="shared" si="1"/>
        <v>24.892926666666668</v>
      </c>
      <c r="AH5" s="1">
        <v>12</v>
      </c>
      <c r="AI5" s="1">
        <v>18</v>
      </c>
      <c r="AJ5" s="1">
        <v>12</v>
      </c>
      <c r="AK5" s="1">
        <v>14</v>
      </c>
      <c r="AL5" s="1">
        <v>15</v>
      </c>
      <c r="AM5" s="1">
        <v>13</v>
      </c>
      <c r="AN5" s="1"/>
      <c r="AO5" s="1"/>
      <c r="AP5" s="1">
        <v>12</v>
      </c>
      <c r="AQ5" s="1">
        <f t="shared" ref="AQ5:AQ36" si="10">AVERAGE(AH5:AK5)</f>
        <v>14</v>
      </c>
      <c r="AR5" s="1">
        <f>AVERAGE(AN5:AP5)</f>
        <v>12</v>
      </c>
      <c r="AS5" s="12">
        <f t="shared" si="2"/>
        <v>13</v>
      </c>
      <c r="AT5" s="1"/>
      <c r="AU5" s="1"/>
      <c r="AV5" s="1"/>
      <c r="AW5" s="1"/>
      <c r="AX5" s="1"/>
      <c r="AY5" s="1"/>
      <c r="AZ5" s="1">
        <v>8</v>
      </c>
      <c r="BA5" s="1"/>
      <c r="BB5" s="1"/>
      <c r="BC5" s="1"/>
      <c r="BD5" s="1"/>
      <c r="BE5" s="1">
        <v>6</v>
      </c>
      <c r="BF5" s="1"/>
      <c r="BG5" s="1"/>
      <c r="BH5" s="1"/>
      <c r="BI5" s="1"/>
      <c r="BJ5" s="1"/>
      <c r="BK5" s="1"/>
      <c r="BL5" s="1"/>
      <c r="BM5" s="1">
        <f>AVERAGE(AV5:BI5)</f>
        <v>7</v>
      </c>
      <c r="BN5" s="12">
        <f t="shared" si="3"/>
        <v>7</v>
      </c>
      <c r="BO5" s="1"/>
      <c r="BP5" s="1"/>
      <c r="BQ5" s="1"/>
      <c r="BR5" s="1"/>
      <c r="BS5" s="1"/>
      <c r="BT5" s="1">
        <v>500</v>
      </c>
      <c r="BU5" s="1"/>
      <c r="BV5" s="1"/>
      <c r="BW5" s="1"/>
      <c r="BX5" s="1"/>
      <c r="BY5" s="1">
        <f t="shared" si="4"/>
        <v>500</v>
      </c>
      <c r="BZ5" s="1">
        <f t="shared" si="5"/>
        <v>0.5</v>
      </c>
      <c r="CA5" s="1">
        <f t="shared" si="6"/>
        <v>500</v>
      </c>
      <c r="CB5" s="12">
        <f t="shared" si="7"/>
        <v>0.5</v>
      </c>
      <c r="CC5" s="13">
        <f t="shared" si="8"/>
        <v>3.5</v>
      </c>
      <c r="CD5" s="6"/>
      <c r="CE5" s="6"/>
      <c r="CF5" s="6"/>
      <c r="CG5" s="6"/>
      <c r="CH5" s="6"/>
      <c r="CI5" s="6"/>
      <c r="CJ5" s="13">
        <f>((Q5-CB5)/CB5)*100</f>
        <v>4889.5119999999997</v>
      </c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x14ac:dyDescent="0.3">
      <c r="A6" s="6" t="s">
        <v>5</v>
      </c>
      <c r="B6" s="10" t="s">
        <v>5</v>
      </c>
      <c r="C6" s="10" t="s">
        <v>6</v>
      </c>
      <c r="D6" s="6" t="s">
        <v>7</v>
      </c>
      <c r="E6" s="7">
        <v>22.679600000000001</v>
      </c>
      <c r="F6" s="7">
        <v>31.751439999999999</v>
      </c>
      <c r="G6" s="7"/>
      <c r="H6" s="7"/>
      <c r="I6" s="1"/>
      <c r="J6" s="1"/>
      <c r="K6" s="1">
        <v>20.5</v>
      </c>
      <c r="L6" s="1">
        <v>32</v>
      </c>
      <c r="M6" s="1"/>
      <c r="N6" s="1"/>
      <c r="O6" s="1">
        <v>18</v>
      </c>
      <c r="P6" s="1">
        <v>22</v>
      </c>
      <c r="Q6" s="12">
        <v>27.215520000000001</v>
      </c>
      <c r="R6" s="1"/>
      <c r="S6" s="1"/>
      <c r="T6" s="1">
        <v>23.125</v>
      </c>
      <c r="U6" s="1">
        <v>26.25</v>
      </c>
      <c r="V6" s="1">
        <v>20</v>
      </c>
      <c r="W6" s="1">
        <f>AVERAGE(X6:Y6)</f>
        <v>21.05</v>
      </c>
      <c r="X6" s="1">
        <v>21.05</v>
      </c>
      <c r="Y6" s="1">
        <v>21.05</v>
      </c>
      <c r="Z6" s="1"/>
      <c r="AA6" s="1">
        <v>26</v>
      </c>
      <c r="AB6" s="1"/>
      <c r="AC6" s="1"/>
      <c r="AD6" s="1">
        <v>21.55</v>
      </c>
      <c r="AE6" s="1">
        <f t="shared" si="9"/>
        <v>24.488506666666666</v>
      </c>
      <c r="AF6" s="1">
        <f t="shared" si="0"/>
        <v>22.412499999999998</v>
      </c>
      <c r="AG6" s="1">
        <f t="shared" si="1"/>
        <v>23.45050333333333</v>
      </c>
      <c r="AH6" s="1">
        <v>11</v>
      </c>
      <c r="AI6" s="1">
        <v>14</v>
      </c>
      <c r="AJ6" s="1">
        <v>10</v>
      </c>
      <c r="AK6" s="1">
        <v>12</v>
      </c>
      <c r="AL6" s="1">
        <v>12.5</v>
      </c>
      <c r="AM6" s="1">
        <v>11</v>
      </c>
      <c r="AN6" s="1"/>
      <c r="AO6" s="1"/>
      <c r="AP6" s="1">
        <v>11.2</v>
      </c>
      <c r="AQ6" s="1">
        <f t="shared" si="10"/>
        <v>11.75</v>
      </c>
      <c r="AR6" s="1">
        <f>AVERAGE(AN6:AP6)</f>
        <v>11.2</v>
      </c>
      <c r="AS6" s="12">
        <f t="shared" si="2"/>
        <v>11.475</v>
      </c>
      <c r="AT6" s="1">
        <v>10</v>
      </c>
      <c r="AU6" s="1"/>
      <c r="AV6" s="1"/>
      <c r="AW6" s="1"/>
      <c r="AX6" s="1"/>
      <c r="AY6" s="1"/>
      <c r="AZ6" s="1">
        <v>7.4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>
        <f>AVERAGE(AT6:AU6)</f>
        <v>10</v>
      </c>
      <c r="BM6" s="1">
        <f>AVERAGE(AV6:BI6)</f>
        <v>7.4</v>
      </c>
      <c r="BN6" s="12">
        <f t="shared" si="3"/>
        <v>8.6999999999999993</v>
      </c>
      <c r="BO6" s="1"/>
      <c r="BP6" s="1"/>
      <c r="BQ6" s="1">
        <v>382.71825000000001</v>
      </c>
      <c r="BR6" s="1">
        <v>397</v>
      </c>
      <c r="BS6" s="1"/>
      <c r="BT6" s="1"/>
      <c r="BU6" s="1"/>
      <c r="BV6" s="1">
        <v>397</v>
      </c>
      <c r="BW6" s="1">
        <v>397</v>
      </c>
      <c r="BX6" s="1">
        <v>382.71825000000001</v>
      </c>
      <c r="BY6" s="1">
        <f t="shared" si="4"/>
        <v>397</v>
      </c>
      <c r="BZ6" s="1">
        <f t="shared" si="5"/>
        <v>0.39700000000000002</v>
      </c>
      <c r="CA6" s="1">
        <f t="shared" si="6"/>
        <v>389.85912500000001</v>
      </c>
      <c r="CB6" s="12">
        <f t="shared" si="7"/>
        <v>0.38985912500000003</v>
      </c>
      <c r="CC6" s="13">
        <f t="shared" si="8"/>
        <v>3.3917743874999999</v>
      </c>
      <c r="CD6" s="6"/>
      <c r="CE6" s="6"/>
      <c r="CF6" s="6"/>
      <c r="CG6" s="6"/>
      <c r="CH6" s="6"/>
      <c r="CI6" s="6"/>
      <c r="CJ6" s="13">
        <f>((Q6-CB6)/CB6)*100</f>
        <v>6880.8600734944957</v>
      </c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</row>
    <row r="7" spans="1:160" x14ac:dyDescent="0.3">
      <c r="A7" s="6" t="s">
        <v>8</v>
      </c>
      <c r="B7" s="10" t="s">
        <v>8</v>
      </c>
      <c r="C7" s="10" t="s">
        <v>9</v>
      </c>
      <c r="D7" s="6" t="s">
        <v>9</v>
      </c>
      <c r="E7" s="7"/>
      <c r="F7" s="7"/>
      <c r="G7" s="7"/>
      <c r="H7" s="7"/>
      <c r="I7" s="1">
        <v>45.359200000000001</v>
      </c>
      <c r="J7" s="1">
        <v>58.96696</v>
      </c>
      <c r="K7" s="1">
        <v>38.5</v>
      </c>
      <c r="L7" s="1">
        <v>50</v>
      </c>
      <c r="M7" s="1">
        <v>31.751439999999999</v>
      </c>
      <c r="N7" s="1">
        <v>45.359200000000001</v>
      </c>
      <c r="O7" s="1">
        <v>34</v>
      </c>
      <c r="P7" s="1">
        <v>38.5</v>
      </c>
      <c r="Q7" s="12">
        <v>45.359200000000001</v>
      </c>
      <c r="R7" s="1">
        <v>52.163080000000001</v>
      </c>
      <c r="S7" s="1">
        <v>38.555320000000002</v>
      </c>
      <c r="T7" s="1">
        <v>40.25</v>
      </c>
      <c r="U7" s="1">
        <v>44.25</v>
      </c>
      <c r="V7" s="1">
        <v>36.25</v>
      </c>
      <c r="W7" s="1"/>
      <c r="X7" s="1"/>
      <c r="Y7" s="1"/>
      <c r="Z7" s="1"/>
      <c r="AA7" s="1">
        <v>44</v>
      </c>
      <c r="AB7" s="1"/>
      <c r="AC7" s="1"/>
      <c r="AD7" s="1">
        <v>43.09</v>
      </c>
      <c r="AE7" s="1">
        <f t="shared" si="9"/>
        <v>42.804600000000001</v>
      </c>
      <c r="AF7" s="1">
        <f t="shared" si="0"/>
        <v>43.545000000000002</v>
      </c>
      <c r="AG7" s="1">
        <f t="shared" si="1"/>
        <v>43.174800000000005</v>
      </c>
      <c r="AH7" s="1">
        <v>10</v>
      </c>
      <c r="AI7" s="1">
        <v>13</v>
      </c>
      <c r="AJ7" s="1">
        <v>11</v>
      </c>
      <c r="AK7" s="1">
        <v>12</v>
      </c>
      <c r="AL7" s="1">
        <v>11.5</v>
      </c>
      <c r="AM7" s="1">
        <v>11.5</v>
      </c>
      <c r="AN7" s="1"/>
      <c r="AO7" s="1"/>
      <c r="AP7" s="1"/>
      <c r="AQ7" s="1">
        <f t="shared" si="10"/>
        <v>11.5</v>
      </c>
      <c r="AR7" s="1"/>
      <c r="AS7" s="12">
        <f t="shared" si="2"/>
        <v>11.5</v>
      </c>
      <c r="AT7" s="1"/>
      <c r="AU7" s="1"/>
      <c r="AV7" s="1"/>
      <c r="AW7" s="1"/>
      <c r="AX7" s="1"/>
      <c r="AY7" s="1"/>
      <c r="AZ7" s="1">
        <v>6</v>
      </c>
      <c r="BA7" s="1"/>
      <c r="BB7" s="1"/>
      <c r="BC7" s="1"/>
      <c r="BD7" s="1"/>
      <c r="BE7" s="1">
        <v>6.5</v>
      </c>
      <c r="BF7" s="1"/>
      <c r="BG7" s="1"/>
      <c r="BH7" s="1"/>
      <c r="BI7" s="1"/>
      <c r="BJ7" s="1"/>
      <c r="BK7" s="1"/>
      <c r="BL7" s="1"/>
      <c r="BM7" s="1">
        <f>AVERAGE(AV7:BI7)</f>
        <v>6.25</v>
      </c>
      <c r="BN7" s="12">
        <f t="shared" si="3"/>
        <v>6.25</v>
      </c>
      <c r="BO7" s="1"/>
      <c r="BP7" s="1"/>
      <c r="BQ7" s="1"/>
      <c r="BR7" s="1"/>
      <c r="BS7" s="1"/>
      <c r="BT7" s="1">
        <v>488.5</v>
      </c>
      <c r="BU7" s="1"/>
      <c r="BV7" s="1"/>
      <c r="BW7" s="1"/>
      <c r="BX7" s="1"/>
      <c r="BY7" s="1">
        <f t="shared" si="4"/>
        <v>488.5</v>
      </c>
      <c r="BZ7" s="1">
        <f t="shared" si="5"/>
        <v>0.48849999999999999</v>
      </c>
      <c r="CA7" s="1">
        <f t="shared" si="6"/>
        <v>488.5</v>
      </c>
      <c r="CB7" s="12">
        <f t="shared" si="7"/>
        <v>0.48849999999999999</v>
      </c>
      <c r="CC7" s="13">
        <f t="shared" si="8"/>
        <v>3.0531250000000001</v>
      </c>
      <c r="CD7" s="6"/>
      <c r="CE7" s="6"/>
      <c r="CF7" s="6"/>
      <c r="CG7" s="6"/>
      <c r="CH7" s="6"/>
      <c r="CI7" s="6"/>
      <c r="CJ7" s="13">
        <f>((Q7-CB7)/CB7)*100</f>
        <v>9185.4042988741039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</row>
    <row r="8" spans="1:160" x14ac:dyDescent="0.3">
      <c r="A8" s="6" t="s">
        <v>10</v>
      </c>
      <c r="B8" s="10" t="s">
        <v>10</v>
      </c>
      <c r="C8" s="10" t="s">
        <v>11</v>
      </c>
      <c r="D8" s="6" t="s">
        <v>11</v>
      </c>
      <c r="E8" s="7"/>
      <c r="F8" s="7"/>
      <c r="G8" s="7"/>
      <c r="H8" s="7"/>
      <c r="I8" s="1"/>
      <c r="J8" s="1"/>
      <c r="K8" s="1">
        <v>38.5</v>
      </c>
      <c r="L8" s="1"/>
      <c r="M8" s="1"/>
      <c r="N8" s="1"/>
      <c r="O8" s="1">
        <v>34</v>
      </c>
      <c r="P8" s="1"/>
      <c r="Q8" s="12"/>
      <c r="R8" s="1"/>
      <c r="S8" s="1"/>
      <c r="T8" s="1">
        <v>36.25</v>
      </c>
      <c r="U8" s="1">
        <v>38.5</v>
      </c>
      <c r="V8" s="1">
        <v>34</v>
      </c>
      <c r="W8" s="1">
        <f>AVERAGE(X8:Y8)</f>
        <v>39</v>
      </c>
      <c r="X8" s="1">
        <v>39</v>
      </c>
      <c r="Y8" s="1"/>
      <c r="Z8" s="1"/>
      <c r="AA8" s="1">
        <v>40</v>
      </c>
      <c r="AB8" s="1">
        <v>35.83</v>
      </c>
      <c r="AC8" s="1"/>
      <c r="AD8" s="1">
        <v>34.020000000000003</v>
      </c>
      <c r="AE8" s="1">
        <f t="shared" si="9"/>
        <v>36.25</v>
      </c>
      <c r="AF8" s="1">
        <f t="shared" si="0"/>
        <v>37.212499999999999</v>
      </c>
      <c r="AG8" s="1">
        <f t="shared" si="1"/>
        <v>36.731250000000003</v>
      </c>
      <c r="AH8" s="1">
        <v>10</v>
      </c>
      <c r="AI8" s="1">
        <v>14</v>
      </c>
      <c r="AJ8" s="1">
        <v>12</v>
      </c>
      <c r="AK8" s="1"/>
      <c r="AL8" s="1">
        <v>12</v>
      </c>
      <c r="AM8" s="1">
        <v>12</v>
      </c>
      <c r="AN8" s="1"/>
      <c r="AO8" s="1"/>
      <c r="AP8" s="1"/>
      <c r="AQ8" s="1">
        <f t="shared" si="10"/>
        <v>12</v>
      </c>
      <c r="AR8" s="1"/>
      <c r="AS8" s="12">
        <f t="shared" si="2"/>
        <v>12</v>
      </c>
      <c r="AT8" s="1"/>
      <c r="AU8" s="1"/>
      <c r="AV8" s="1"/>
      <c r="AW8" s="1"/>
      <c r="AX8" s="1"/>
      <c r="AY8" s="1"/>
      <c r="AZ8" s="1">
        <v>6.9</v>
      </c>
      <c r="BA8" s="1"/>
      <c r="BB8" s="1"/>
      <c r="BC8" s="1"/>
      <c r="BD8" s="1"/>
      <c r="BE8" s="1">
        <v>7.5</v>
      </c>
      <c r="BF8" s="1"/>
      <c r="BG8" s="1"/>
      <c r="BH8" s="1"/>
      <c r="BI8" s="1"/>
      <c r="BJ8" s="1"/>
      <c r="BK8" s="1"/>
      <c r="BL8" s="1"/>
      <c r="BM8" s="1">
        <f>AVERAGE(AV8:BI8)</f>
        <v>7.2</v>
      </c>
      <c r="BN8" s="12">
        <f t="shared" si="3"/>
        <v>7.2</v>
      </c>
      <c r="BO8" s="1"/>
      <c r="BP8" s="1"/>
      <c r="BQ8" s="1"/>
      <c r="BR8" s="1">
        <v>482</v>
      </c>
      <c r="BS8" s="1"/>
      <c r="BT8" s="1">
        <v>468</v>
      </c>
      <c r="BU8" s="1"/>
      <c r="BV8" s="1">
        <v>482</v>
      </c>
      <c r="BW8" s="1"/>
      <c r="BX8" s="1"/>
      <c r="BY8" s="1">
        <f t="shared" si="4"/>
        <v>475</v>
      </c>
      <c r="BZ8" s="1">
        <f t="shared" si="5"/>
        <v>0.47499999999999998</v>
      </c>
      <c r="CA8" s="1">
        <f t="shared" si="6"/>
        <v>475</v>
      </c>
      <c r="CB8" s="12">
        <f t="shared" si="7"/>
        <v>0.47499999999999998</v>
      </c>
      <c r="CC8" s="13">
        <f t="shared" si="8"/>
        <v>3.42</v>
      </c>
      <c r="CD8" s="6"/>
      <c r="CE8" s="6"/>
      <c r="CF8" s="6"/>
      <c r="CG8" s="6"/>
      <c r="CH8" s="6"/>
      <c r="CI8" s="6"/>
      <c r="CJ8" s="13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</row>
    <row r="9" spans="1:160" x14ac:dyDescent="0.3">
      <c r="A9" s="6" t="s">
        <v>12</v>
      </c>
      <c r="B9" s="10" t="s">
        <v>12</v>
      </c>
      <c r="C9" s="10" t="s">
        <v>13</v>
      </c>
      <c r="D9" s="6" t="s">
        <v>13</v>
      </c>
      <c r="E9" s="7"/>
      <c r="F9" s="7"/>
      <c r="G9" s="7">
        <v>18</v>
      </c>
      <c r="H9" s="7">
        <v>23</v>
      </c>
      <c r="I9" s="1">
        <v>24.947559999999999</v>
      </c>
      <c r="J9" s="1">
        <v>31.751439999999999</v>
      </c>
      <c r="K9" s="1"/>
      <c r="L9" s="1"/>
      <c r="M9" s="1">
        <v>18.14368</v>
      </c>
      <c r="N9" s="1">
        <v>24.947559999999999</v>
      </c>
      <c r="O9" s="1"/>
      <c r="P9" s="1"/>
      <c r="Q9" s="12">
        <v>24.947559999999999</v>
      </c>
      <c r="R9" s="1">
        <v>28.349499999999999</v>
      </c>
      <c r="S9" s="1">
        <v>21.54562</v>
      </c>
      <c r="T9" s="1">
        <v>20.5</v>
      </c>
      <c r="U9" s="1"/>
      <c r="V9" s="1"/>
      <c r="W9" s="1"/>
      <c r="X9" s="1"/>
      <c r="Y9" s="1"/>
      <c r="Z9" s="1"/>
      <c r="AA9" s="1">
        <v>27</v>
      </c>
      <c r="AB9" s="1"/>
      <c r="AC9" s="1"/>
      <c r="AD9" s="1"/>
      <c r="AE9" s="1">
        <f t="shared" si="9"/>
        <v>23.465040000000002</v>
      </c>
      <c r="AF9" s="1">
        <f t="shared" si="0"/>
        <v>27</v>
      </c>
      <c r="AG9" s="1">
        <f t="shared" si="1"/>
        <v>25.232520000000001</v>
      </c>
      <c r="AH9" s="1">
        <v>12</v>
      </c>
      <c r="AI9" s="1">
        <v>16</v>
      </c>
      <c r="AJ9" s="1">
        <v>12</v>
      </c>
      <c r="AK9" s="1"/>
      <c r="AL9" s="1">
        <v>14</v>
      </c>
      <c r="AM9" s="1">
        <v>12</v>
      </c>
      <c r="AN9" s="1"/>
      <c r="AO9" s="1"/>
      <c r="AP9" s="1"/>
      <c r="AQ9" s="1">
        <f t="shared" si="10"/>
        <v>13.333333333333334</v>
      </c>
      <c r="AR9" s="1"/>
      <c r="AS9" s="12">
        <f t="shared" si="2"/>
        <v>13.333333333333334</v>
      </c>
      <c r="AT9" s="1">
        <v>7.5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 t="s">
        <v>761</v>
      </c>
      <c r="BF9" s="1"/>
      <c r="BG9" s="1"/>
      <c r="BH9" s="1"/>
      <c r="BI9" s="1"/>
      <c r="BJ9" s="1"/>
      <c r="BK9" s="1"/>
      <c r="BL9" s="1">
        <f>AVERAGE(AT9:AU9)</f>
        <v>7.5</v>
      </c>
      <c r="BM9" s="1"/>
      <c r="BN9" s="12">
        <f t="shared" si="3"/>
        <v>7.5</v>
      </c>
      <c r="BO9" s="1"/>
      <c r="BP9" s="1"/>
      <c r="BQ9" s="1">
        <v>340.19400000000002</v>
      </c>
      <c r="BR9" s="1"/>
      <c r="BS9" s="1"/>
      <c r="BT9" s="1">
        <v>500</v>
      </c>
      <c r="BU9" s="1"/>
      <c r="BV9" s="1"/>
      <c r="BW9" s="1"/>
      <c r="BX9" s="1">
        <v>340.19400000000002</v>
      </c>
      <c r="BY9" s="1">
        <f t="shared" si="4"/>
        <v>500</v>
      </c>
      <c r="BZ9" s="1">
        <f t="shared" si="5"/>
        <v>0.5</v>
      </c>
      <c r="CA9" s="1">
        <f t="shared" si="6"/>
        <v>420.09699999999998</v>
      </c>
      <c r="CB9" s="12">
        <f t="shared" si="7"/>
        <v>0.420097</v>
      </c>
      <c r="CC9" s="13">
        <f t="shared" si="8"/>
        <v>3.1507274999999999</v>
      </c>
      <c r="CD9" s="6"/>
      <c r="CE9" s="6"/>
      <c r="CF9" s="6"/>
      <c r="CG9" s="6"/>
      <c r="CH9" s="6"/>
      <c r="CI9" s="6"/>
      <c r="CJ9" s="13">
        <f t="shared" ref="CJ9:CJ15" si="11">((Q9-CB9)/CB9)*100</f>
        <v>5838.523721902322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</row>
    <row r="10" spans="1:160" x14ac:dyDescent="0.3">
      <c r="A10" s="6" t="s">
        <v>14</v>
      </c>
      <c r="B10" s="10" t="s">
        <v>14</v>
      </c>
      <c r="C10" s="10" t="s">
        <v>15</v>
      </c>
      <c r="D10" s="6" t="s">
        <v>16</v>
      </c>
      <c r="E10" s="7"/>
      <c r="F10" s="7"/>
      <c r="G10" s="7"/>
      <c r="H10" s="7"/>
      <c r="I10" s="1">
        <v>49.895119999999999</v>
      </c>
      <c r="J10" s="1">
        <v>68.038799999999995</v>
      </c>
      <c r="K10" s="1">
        <v>50</v>
      </c>
      <c r="L10" s="1">
        <v>68</v>
      </c>
      <c r="M10" s="1">
        <v>36.28736</v>
      </c>
      <c r="N10" s="1">
        <v>54.431040000000003</v>
      </c>
      <c r="O10" s="1">
        <v>36.5</v>
      </c>
      <c r="P10" s="1">
        <v>54.6</v>
      </c>
      <c r="Q10" s="12">
        <v>52.163080000000001</v>
      </c>
      <c r="R10" s="1">
        <v>58.96696</v>
      </c>
      <c r="S10" s="1">
        <v>45.359200000000001</v>
      </c>
      <c r="T10" s="1">
        <v>52.274999999999999</v>
      </c>
      <c r="U10" s="1">
        <v>59</v>
      </c>
      <c r="V10" s="1">
        <v>45.55</v>
      </c>
      <c r="W10" s="1"/>
      <c r="X10" s="1"/>
      <c r="Y10" s="1"/>
      <c r="Z10" s="1"/>
      <c r="AA10" s="1"/>
      <c r="AB10" s="1"/>
      <c r="AC10" s="1"/>
      <c r="AD10" s="1"/>
      <c r="AE10" s="1">
        <f t="shared" si="9"/>
        <v>52.21904</v>
      </c>
      <c r="AF10" s="1"/>
      <c r="AG10" s="1">
        <f t="shared" si="1"/>
        <v>52.21904</v>
      </c>
      <c r="AH10" s="1">
        <v>11</v>
      </c>
      <c r="AI10" s="1">
        <v>13</v>
      </c>
      <c r="AJ10" s="1">
        <v>12</v>
      </c>
      <c r="AK10" s="1"/>
      <c r="AL10" s="1">
        <v>12</v>
      </c>
      <c r="AM10" s="1">
        <v>12</v>
      </c>
      <c r="AN10" s="1"/>
      <c r="AO10" s="1"/>
      <c r="AP10" s="1"/>
      <c r="AQ10" s="1">
        <f t="shared" si="10"/>
        <v>12</v>
      </c>
      <c r="AR10" s="1"/>
      <c r="AS10" s="12">
        <f t="shared" si="2"/>
        <v>12</v>
      </c>
      <c r="AT10" s="1"/>
      <c r="AU10" s="1"/>
      <c r="AV10" s="1"/>
      <c r="AW10" s="1"/>
      <c r="AX10" s="1"/>
      <c r="AY10" s="1"/>
      <c r="AZ10" s="1"/>
      <c r="BA10" s="1"/>
      <c r="BB10" s="1">
        <v>6.2</v>
      </c>
      <c r="BC10" s="1"/>
      <c r="BD10" s="1">
        <v>8</v>
      </c>
      <c r="BE10" s="1"/>
      <c r="BF10" s="1"/>
      <c r="BG10" s="1"/>
      <c r="BH10" s="1"/>
      <c r="BI10" s="1"/>
      <c r="BJ10" s="1"/>
      <c r="BK10" s="1"/>
      <c r="BL10" s="1"/>
      <c r="BM10" s="1">
        <f t="shared" ref="BM10:BM16" si="12">AVERAGE(AV10:BI10)</f>
        <v>7.1</v>
      </c>
      <c r="BN10" s="12">
        <f t="shared" si="3"/>
        <v>7.1</v>
      </c>
      <c r="BO10" s="1"/>
      <c r="BP10" s="1"/>
      <c r="BQ10" s="1"/>
      <c r="BR10" s="1"/>
      <c r="BS10" s="1">
        <v>500</v>
      </c>
      <c r="BT10" s="1"/>
      <c r="BU10" s="1"/>
      <c r="BV10" s="1"/>
      <c r="BW10" s="1"/>
      <c r="BX10" s="1"/>
      <c r="BY10" s="1">
        <f t="shared" si="4"/>
        <v>500</v>
      </c>
      <c r="BZ10" s="1">
        <f t="shared" si="5"/>
        <v>0.5</v>
      </c>
      <c r="CA10" s="1">
        <f t="shared" si="6"/>
        <v>500</v>
      </c>
      <c r="CB10" s="12">
        <f t="shared" si="7"/>
        <v>0.5</v>
      </c>
      <c r="CC10" s="13">
        <f t="shared" si="8"/>
        <v>3.55</v>
      </c>
      <c r="CD10" s="6"/>
      <c r="CE10" s="6"/>
      <c r="CF10" s="6"/>
      <c r="CG10" s="6"/>
      <c r="CH10" s="6"/>
      <c r="CI10" s="6"/>
      <c r="CJ10" s="13">
        <f t="shared" si="11"/>
        <v>10332.616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</row>
    <row r="11" spans="1:160" x14ac:dyDescent="0.3">
      <c r="A11" s="6" t="s">
        <v>17</v>
      </c>
      <c r="B11" s="10" t="s">
        <v>17</v>
      </c>
      <c r="C11" s="10" t="s">
        <v>18</v>
      </c>
      <c r="D11" s="6" t="s">
        <v>18</v>
      </c>
      <c r="E11" s="7">
        <v>15.875719999999999</v>
      </c>
      <c r="F11" s="7">
        <v>22.679600000000001</v>
      </c>
      <c r="G11" s="7">
        <v>16</v>
      </c>
      <c r="H11" s="7">
        <v>20</v>
      </c>
      <c r="I11" s="1"/>
      <c r="J11" s="1"/>
      <c r="K11" s="1"/>
      <c r="L11" s="1"/>
      <c r="M11" s="1"/>
      <c r="N11" s="1"/>
      <c r="O11" s="1"/>
      <c r="P11" s="1"/>
      <c r="Q11" s="12">
        <v>19.277660000000001</v>
      </c>
      <c r="R11" s="1"/>
      <c r="S11" s="1"/>
      <c r="T11" s="1">
        <v>18</v>
      </c>
      <c r="U11" s="1"/>
      <c r="V11" s="1"/>
      <c r="W11" s="1">
        <f>AVERAGE(X11:Y11)</f>
        <v>20.5</v>
      </c>
      <c r="X11" s="1">
        <v>20.5</v>
      </c>
      <c r="Y11" s="1">
        <v>20.5</v>
      </c>
      <c r="Z11" s="1"/>
      <c r="AA11" s="1">
        <v>15</v>
      </c>
      <c r="AB11" s="1"/>
      <c r="AC11" s="1"/>
      <c r="AD11" s="1"/>
      <c r="AE11" s="1">
        <f t="shared" si="9"/>
        <v>18.638829999999999</v>
      </c>
      <c r="AF11" s="1">
        <f>AVERAGE(X11:AD11)</f>
        <v>18.666666666666668</v>
      </c>
      <c r="AG11" s="1">
        <f t="shared" si="1"/>
        <v>18.652748333333335</v>
      </c>
      <c r="AH11" s="1">
        <v>12</v>
      </c>
      <c r="AI11" s="1">
        <v>16</v>
      </c>
      <c r="AJ11" s="1">
        <v>12</v>
      </c>
      <c r="AK11" s="1">
        <v>13</v>
      </c>
      <c r="AL11" s="1">
        <v>14</v>
      </c>
      <c r="AM11" s="1">
        <v>12.5</v>
      </c>
      <c r="AN11" s="1"/>
      <c r="AO11" s="1"/>
      <c r="AP11" s="1"/>
      <c r="AQ11" s="1">
        <f t="shared" si="10"/>
        <v>13.25</v>
      </c>
      <c r="AR11" s="1"/>
      <c r="AS11" s="12">
        <f t="shared" si="2"/>
        <v>13.25</v>
      </c>
      <c r="AT11" s="1"/>
      <c r="AU11" s="1"/>
      <c r="AV11" s="1"/>
      <c r="AW11" s="1"/>
      <c r="AX11" s="1"/>
      <c r="AY11" s="1"/>
      <c r="AZ11" s="1">
        <v>5.5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>
        <f t="shared" si="12"/>
        <v>5.5</v>
      </c>
      <c r="BN11" s="12">
        <f t="shared" si="3"/>
        <v>5.5</v>
      </c>
      <c r="BO11" s="1"/>
      <c r="BP11" s="1"/>
      <c r="BQ11" s="1"/>
      <c r="BR11" s="1">
        <v>283.5</v>
      </c>
      <c r="BS11" s="1"/>
      <c r="BT11" s="1"/>
      <c r="BU11" s="1"/>
      <c r="BV11" s="1">
        <v>300</v>
      </c>
      <c r="BW11" s="1">
        <v>267</v>
      </c>
      <c r="BX11" s="1"/>
      <c r="BY11" s="1">
        <f t="shared" si="4"/>
        <v>283.5</v>
      </c>
      <c r="BZ11" s="1">
        <f t="shared" si="5"/>
        <v>0.28349999999999997</v>
      </c>
      <c r="CA11" s="1">
        <f t="shared" si="6"/>
        <v>283.5</v>
      </c>
      <c r="CB11" s="12">
        <f t="shared" si="7"/>
        <v>0.28349999999999997</v>
      </c>
      <c r="CC11" s="13">
        <f t="shared" si="8"/>
        <v>1.5592499999999998</v>
      </c>
      <c r="CD11" s="6"/>
      <c r="CE11" s="6"/>
      <c r="CF11" s="6"/>
      <c r="CG11" s="6"/>
      <c r="CH11" s="6"/>
      <c r="CI11" s="6"/>
      <c r="CJ11" s="13">
        <f t="shared" si="11"/>
        <v>6699.8800705467374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</row>
    <row r="12" spans="1:160" x14ac:dyDescent="0.3">
      <c r="A12" s="6" t="s">
        <v>19</v>
      </c>
      <c r="B12" s="10" t="s">
        <v>19</v>
      </c>
      <c r="C12" s="10" t="s">
        <v>20</v>
      </c>
      <c r="D12" s="6" t="s">
        <v>20</v>
      </c>
      <c r="E12" s="7"/>
      <c r="F12" s="7"/>
      <c r="G12" s="7">
        <v>16</v>
      </c>
      <c r="H12" s="7">
        <v>32</v>
      </c>
      <c r="I12" s="1">
        <v>22.679600000000001</v>
      </c>
      <c r="J12" s="1">
        <v>29.48348</v>
      </c>
      <c r="K12" s="1"/>
      <c r="L12" s="1"/>
      <c r="M12" s="1">
        <v>18.14368</v>
      </c>
      <c r="N12" s="1">
        <v>24.947559999999999</v>
      </c>
      <c r="O12" s="1"/>
      <c r="P12" s="1"/>
      <c r="Q12" s="12">
        <v>23.813580000000002</v>
      </c>
      <c r="R12" s="1">
        <v>26.08154</v>
      </c>
      <c r="S12" s="1">
        <v>21.54562</v>
      </c>
      <c r="T12" s="1">
        <v>24</v>
      </c>
      <c r="U12" s="1"/>
      <c r="V12" s="1"/>
      <c r="W12" s="1"/>
      <c r="X12" s="1"/>
      <c r="Y12" s="1"/>
      <c r="Z12" s="1"/>
      <c r="AA12" s="1">
        <v>25</v>
      </c>
      <c r="AB12" s="1"/>
      <c r="AC12" s="1"/>
      <c r="AD12" s="1">
        <v>15.88</v>
      </c>
      <c r="AE12" s="1">
        <f t="shared" si="9"/>
        <v>23.875720000000001</v>
      </c>
      <c r="AF12" s="1">
        <f>AVERAGE(X12:AD12)</f>
        <v>20.440000000000001</v>
      </c>
      <c r="AG12" s="1">
        <f t="shared" si="1"/>
        <v>22.157859999999999</v>
      </c>
      <c r="AH12" s="1">
        <v>12</v>
      </c>
      <c r="AI12" s="1">
        <v>15</v>
      </c>
      <c r="AJ12" s="1">
        <v>12</v>
      </c>
      <c r="AK12" s="1">
        <v>13</v>
      </c>
      <c r="AL12" s="1">
        <v>13.5</v>
      </c>
      <c r="AM12" s="1">
        <v>12.5</v>
      </c>
      <c r="AN12" s="1"/>
      <c r="AO12" s="1"/>
      <c r="AP12" s="1"/>
      <c r="AQ12" s="1">
        <f t="shared" si="10"/>
        <v>13</v>
      </c>
      <c r="AR12" s="1"/>
      <c r="AS12" s="12">
        <f t="shared" si="2"/>
        <v>13</v>
      </c>
      <c r="AT12" s="1">
        <v>7.5</v>
      </c>
      <c r="AU12" s="1"/>
      <c r="AV12" s="1"/>
      <c r="AW12" s="1"/>
      <c r="AX12" s="1"/>
      <c r="AY12" s="1"/>
      <c r="AZ12" s="1">
        <v>8</v>
      </c>
      <c r="BA12" s="1"/>
      <c r="BB12" s="1"/>
      <c r="BC12" s="1"/>
      <c r="BD12" s="1"/>
      <c r="BE12" s="1">
        <v>7</v>
      </c>
      <c r="BF12" s="1"/>
      <c r="BG12" s="1"/>
      <c r="BH12" s="1"/>
      <c r="BI12" s="1"/>
      <c r="BJ12" s="1"/>
      <c r="BK12" s="1"/>
      <c r="BL12" s="1">
        <f>AVERAGE(AT12:AU12)</f>
        <v>7.5</v>
      </c>
      <c r="BM12" s="1">
        <f t="shared" si="12"/>
        <v>7.5</v>
      </c>
      <c r="BN12" s="12">
        <f t="shared" si="3"/>
        <v>7.5</v>
      </c>
      <c r="BO12" s="1"/>
      <c r="BP12" s="1"/>
      <c r="BQ12" s="1">
        <v>362.87360000000001</v>
      </c>
      <c r="BR12" s="1"/>
      <c r="BS12" s="1"/>
      <c r="BT12" s="1">
        <v>350</v>
      </c>
      <c r="BU12" s="1"/>
      <c r="BV12" s="1"/>
      <c r="BW12" s="1"/>
      <c r="BX12" s="1">
        <v>362.87360000000001</v>
      </c>
      <c r="BY12" s="1">
        <f t="shared" si="4"/>
        <v>350</v>
      </c>
      <c r="BZ12" s="1">
        <f t="shared" si="5"/>
        <v>0.35</v>
      </c>
      <c r="CA12" s="1">
        <f t="shared" si="6"/>
        <v>356.43680000000001</v>
      </c>
      <c r="CB12" s="12">
        <f t="shared" si="7"/>
        <v>0.3564368</v>
      </c>
      <c r="CC12" s="13">
        <f t="shared" si="8"/>
        <v>2.673276</v>
      </c>
      <c r="CD12" s="6"/>
      <c r="CE12" s="6"/>
      <c r="CF12" s="6"/>
      <c r="CG12" s="6"/>
      <c r="CH12" s="6"/>
      <c r="CI12" s="6"/>
      <c r="CJ12" s="13">
        <f t="shared" si="11"/>
        <v>6581.0104904992986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</row>
    <row r="13" spans="1:160" x14ac:dyDescent="0.3">
      <c r="A13" s="6" t="s">
        <v>21</v>
      </c>
      <c r="B13" s="10" t="s">
        <v>21</v>
      </c>
      <c r="C13" s="10" t="s">
        <v>22</v>
      </c>
      <c r="D13" s="6" t="s">
        <v>22</v>
      </c>
      <c r="E13" s="7">
        <v>6.8038800000000004</v>
      </c>
      <c r="F13" s="7">
        <v>9.0718399999999999</v>
      </c>
      <c r="G13" s="7">
        <v>4</v>
      </c>
      <c r="H13" s="7">
        <v>7</v>
      </c>
      <c r="I13" s="1"/>
      <c r="J13" s="1"/>
      <c r="K13" s="1"/>
      <c r="L13" s="1"/>
      <c r="M13" s="1"/>
      <c r="N13" s="1"/>
      <c r="O13" s="1"/>
      <c r="P13" s="1"/>
      <c r="Q13" s="12">
        <v>7.9378599999999997</v>
      </c>
      <c r="R13" s="1"/>
      <c r="S13" s="1"/>
      <c r="T13" s="1">
        <v>5.5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>
        <f t="shared" si="9"/>
        <v>6.7189300000000003</v>
      </c>
      <c r="AF13" s="1"/>
      <c r="AG13" s="1">
        <f t="shared" si="1"/>
        <v>6.7189300000000003</v>
      </c>
      <c r="AH13" s="1">
        <v>11</v>
      </c>
      <c r="AI13" s="1">
        <v>15</v>
      </c>
      <c r="AJ13" s="1">
        <v>14</v>
      </c>
      <c r="AK13" s="1"/>
      <c r="AL13" s="1">
        <v>13</v>
      </c>
      <c r="AM13" s="1">
        <v>14</v>
      </c>
      <c r="AN13" s="1"/>
      <c r="AO13" s="1"/>
      <c r="AP13" s="1"/>
      <c r="AQ13" s="1">
        <f t="shared" si="10"/>
        <v>13.333333333333334</v>
      </c>
      <c r="AR13" s="1"/>
      <c r="AS13" s="12">
        <f t="shared" si="2"/>
        <v>13.333333333333334</v>
      </c>
      <c r="AT13" s="1">
        <v>4.5</v>
      </c>
      <c r="AU13" s="1"/>
      <c r="AV13" s="1"/>
      <c r="AW13" s="1"/>
      <c r="AX13" s="1"/>
      <c r="AY13" s="1"/>
      <c r="AZ13" s="1">
        <v>5.5</v>
      </c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>
        <f>AVERAGE(AT13:AU13)</f>
        <v>4.5</v>
      </c>
      <c r="BM13" s="1">
        <f t="shared" si="12"/>
        <v>5.5</v>
      </c>
      <c r="BN13" s="12">
        <f t="shared" si="3"/>
        <v>5</v>
      </c>
      <c r="BO13" s="1"/>
      <c r="BP13" s="1"/>
      <c r="BQ13" s="1">
        <v>170.09700000000001</v>
      </c>
      <c r="BR13" s="1"/>
      <c r="BS13" s="1"/>
      <c r="BT13" s="1"/>
      <c r="BU13" s="1"/>
      <c r="BV13" s="1"/>
      <c r="BW13" s="1"/>
      <c r="BX13" s="1">
        <v>170.09700000000001</v>
      </c>
      <c r="BY13" s="1"/>
      <c r="BZ13" s="1"/>
      <c r="CA13" s="1">
        <f t="shared" si="6"/>
        <v>170.09700000000001</v>
      </c>
      <c r="CB13" s="12">
        <f t="shared" si="7"/>
        <v>0.170097</v>
      </c>
      <c r="CC13" s="13">
        <f t="shared" si="8"/>
        <v>0.85048499999999994</v>
      </c>
      <c r="CD13" s="6"/>
      <c r="CE13" s="6"/>
      <c r="CF13" s="6"/>
      <c r="CG13" s="6"/>
      <c r="CH13" s="6"/>
      <c r="CI13" s="6"/>
      <c r="CJ13" s="13">
        <f t="shared" si="11"/>
        <v>4566.6666666666661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</row>
    <row r="14" spans="1:160" x14ac:dyDescent="0.3">
      <c r="A14" s="6" t="s">
        <v>23</v>
      </c>
      <c r="B14" s="10" t="s">
        <v>23</v>
      </c>
      <c r="C14" s="10" t="s">
        <v>24</v>
      </c>
      <c r="D14" s="6" t="s">
        <v>24</v>
      </c>
      <c r="E14" s="7">
        <v>18.14368</v>
      </c>
      <c r="F14" s="7">
        <v>29.48348</v>
      </c>
      <c r="G14" s="7">
        <v>18</v>
      </c>
      <c r="H14" s="7">
        <v>27</v>
      </c>
      <c r="I14" s="1"/>
      <c r="J14" s="1"/>
      <c r="K14" s="1"/>
      <c r="L14" s="1"/>
      <c r="M14" s="1"/>
      <c r="N14" s="1"/>
      <c r="O14" s="1"/>
      <c r="P14" s="1"/>
      <c r="Q14" s="12">
        <v>23.813580000000002</v>
      </c>
      <c r="R14" s="1"/>
      <c r="S14" s="1"/>
      <c r="T14" s="1">
        <v>22.5</v>
      </c>
      <c r="U14" s="1"/>
      <c r="V14" s="1"/>
      <c r="W14" s="1">
        <f>AVERAGE(X14:Y14)</f>
        <v>10.89</v>
      </c>
      <c r="X14" s="1">
        <v>10.89</v>
      </c>
      <c r="Y14" s="1"/>
      <c r="Z14" s="1"/>
      <c r="AA14" s="1">
        <v>26</v>
      </c>
      <c r="AB14" s="1"/>
      <c r="AC14" s="1"/>
      <c r="AD14" s="1">
        <v>19.28</v>
      </c>
      <c r="AE14" s="1">
        <f t="shared" si="9"/>
        <v>23.156790000000001</v>
      </c>
      <c r="AF14" s="1">
        <f>AVERAGE(X14:AD14)</f>
        <v>18.723333333333333</v>
      </c>
      <c r="AG14" s="1">
        <f t="shared" si="1"/>
        <v>20.940061666666665</v>
      </c>
      <c r="AH14" s="1">
        <v>12</v>
      </c>
      <c r="AI14" s="1">
        <v>13</v>
      </c>
      <c r="AJ14" s="1">
        <v>12</v>
      </c>
      <c r="AK14" s="1"/>
      <c r="AL14" s="1">
        <v>12.5</v>
      </c>
      <c r="AM14" s="1">
        <v>12</v>
      </c>
      <c r="AN14" s="1">
        <v>10.3</v>
      </c>
      <c r="AO14" s="1"/>
      <c r="AP14" s="1">
        <v>12.8</v>
      </c>
      <c r="AQ14" s="1">
        <f t="shared" si="10"/>
        <v>12.333333333333334</v>
      </c>
      <c r="AR14" s="1">
        <f>AVERAGE(AN14:AP14)</f>
        <v>11.55</v>
      </c>
      <c r="AS14" s="12">
        <f t="shared" si="2"/>
        <v>11.811111111111112</v>
      </c>
      <c r="AT14" s="1"/>
      <c r="AU14" s="1"/>
      <c r="AV14" s="1">
        <v>5.14</v>
      </c>
      <c r="AW14" s="1"/>
      <c r="AX14" s="1"/>
      <c r="AY14" s="1"/>
      <c r="AZ14" s="1">
        <v>6.7</v>
      </c>
      <c r="BA14" s="1"/>
      <c r="BB14" s="1"/>
      <c r="BC14" s="1"/>
      <c r="BD14" s="1"/>
      <c r="BE14" s="1">
        <v>7</v>
      </c>
      <c r="BF14" s="1"/>
      <c r="BG14" s="1"/>
      <c r="BH14" s="1"/>
      <c r="BI14" s="1"/>
      <c r="BJ14" s="1"/>
      <c r="BK14" s="1"/>
      <c r="BL14" s="1"/>
      <c r="BM14" s="1">
        <f t="shared" si="12"/>
        <v>6.28</v>
      </c>
      <c r="BN14" s="12">
        <f t="shared" si="3"/>
        <v>6.28</v>
      </c>
      <c r="BO14" s="1"/>
      <c r="BP14" s="1"/>
      <c r="BQ14" s="1"/>
      <c r="BR14" s="1">
        <v>450</v>
      </c>
      <c r="BS14" s="1"/>
      <c r="BT14" s="1">
        <v>448</v>
      </c>
      <c r="BU14" s="1"/>
      <c r="BV14" s="1">
        <v>450</v>
      </c>
      <c r="BW14" s="1"/>
      <c r="BX14" s="1"/>
      <c r="BY14" s="1">
        <f>AVERAGE(BR14:BU14)</f>
        <v>449</v>
      </c>
      <c r="BZ14" s="1">
        <f>BY14/1000</f>
        <v>0.44900000000000001</v>
      </c>
      <c r="CA14" s="1">
        <f t="shared" si="6"/>
        <v>449</v>
      </c>
      <c r="CB14" s="12">
        <f t="shared" si="7"/>
        <v>0.44900000000000001</v>
      </c>
      <c r="CC14" s="13">
        <f t="shared" si="8"/>
        <v>2.8197200000000002</v>
      </c>
      <c r="CD14" s="6"/>
      <c r="CE14" s="6">
        <v>12.3</v>
      </c>
      <c r="CF14" s="6">
        <f>AVERAGE(CD14:CE14)</f>
        <v>12.3</v>
      </c>
      <c r="CG14" s="6"/>
      <c r="CH14" s="6">
        <v>52</v>
      </c>
      <c r="CI14" s="6">
        <v>52</v>
      </c>
      <c r="CJ14" s="13">
        <f t="shared" si="11"/>
        <v>5203.6926503340756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</row>
    <row r="15" spans="1:160" x14ac:dyDescent="0.3">
      <c r="A15" s="6" t="s">
        <v>25</v>
      </c>
      <c r="B15" s="10" t="s">
        <v>25</v>
      </c>
      <c r="C15" s="10" t="s">
        <v>26</v>
      </c>
      <c r="D15" s="6" t="s">
        <v>26</v>
      </c>
      <c r="E15" s="7">
        <v>9.0718399999999999</v>
      </c>
      <c r="F15" s="7">
        <v>13.607760000000001</v>
      </c>
      <c r="G15" s="7">
        <v>5.5</v>
      </c>
      <c r="H15" s="7">
        <v>13.5</v>
      </c>
      <c r="I15" s="1"/>
      <c r="J15" s="1"/>
      <c r="K15" s="1"/>
      <c r="L15" s="1"/>
      <c r="M15" s="1"/>
      <c r="N15" s="1"/>
      <c r="O15" s="1"/>
      <c r="P15" s="1"/>
      <c r="Q15" s="12">
        <v>11.3398</v>
      </c>
      <c r="R15" s="1"/>
      <c r="S15" s="1"/>
      <c r="T15" s="1">
        <v>9.5</v>
      </c>
      <c r="U15" s="1"/>
      <c r="V15" s="1"/>
      <c r="W15" s="1"/>
      <c r="X15" s="1"/>
      <c r="Y15" s="1"/>
      <c r="Z15" s="1"/>
      <c r="AA15" s="1">
        <v>10</v>
      </c>
      <c r="AB15" s="1">
        <v>9.4120000000000008</v>
      </c>
      <c r="AC15" s="1">
        <v>17.399999999999999</v>
      </c>
      <c r="AD15" s="1">
        <v>9.07</v>
      </c>
      <c r="AE15" s="1">
        <f t="shared" si="9"/>
        <v>10.4199</v>
      </c>
      <c r="AF15" s="1">
        <f>AVERAGE(X15:AD15)</f>
        <v>11.470499999999999</v>
      </c>
      <c r="AG15" s="1">
        <f t="shared" si="1"/>
        <v>10.9452</v>
      </c>
      <c r="AH15" s="1">
        <v>10</v>
      </c>
      <c r="AI15" s="1">
        <v>15</v>
      </c>
      <c r="AJ15" s="1">
        <v>13</v>
      </c>
      <c r="AK15" s="1">
        <v>15</v>
      </c>
      <c r="AL15" s="1">
        <v>12.5</v>
      </c>
      <c r="AM15" s="1">
        <v>14</v>
      </c>
      <c r="AN15" s="1"/>
      <c r="AO15" s="1"/>
      <c r="AP15" s="1">
        <v>16</v>
      </c>
      <c r="AQ15" s="1">
        <f t="shared" si="10"/>
        <v>13.25</v>
      </c>
      <c r="AR15" s="1">
        <f>AVERAGE(AN15:AP15)</f>
        <v>16</v>
      </c>
      <c r="AS15" s="12">
        <f t="shared" si="2"/>
        <v>14.625</v>
      </c>
      <c r="AT15" s="1"/>
      <c r="AU15" s="1"/>
      <c r="AV15" s="1"/>
      <c r="AW15" s="1"/>
      <c r="AX15" s="1"/>
      <c r="AY15" s="1">
        <v>7</v>
      </c>
      <c r="AZ15" s="1">
        <v>5.5</v>
      </c>
      <c r="BA15" s="1"/>
      <c r="BB15" s="1"/>
      <c r="BC15" s="1"/>
      <c r="BD15" s="1"/>
      <c r="BE15" s="1">
        <v>7.5</v>
      </c>
      <c r="BF15" s="1"/>
      <c r="BG15" s="1"/>
      <c r="BH15" s="1"/>
      <c r="BI15" s="1">
        <f>BO15+BP15</f>
        <v>4.9499999999999993</v>
      </c>
      <c r="BJ15" s="1"/>
      <c r="BK15" s="1"/>
      <c r="BL15" s="1"/>
      <c r="BM15" s="1">
        <f t="shared" si="12"/>
        <v>6.2374999999999998</v>
      </c>
      <c r="BN15" s="12">
        <f t="shared" si="3"/>
        <v>6.2374999999999998</v>
      </c>
      <c r="BO15" s="1">
        <v>2.63</v>
      </c>
      <c r="BP15" s="1">
        <v>2.3199999999999998</v>
      </c>
      <c r="BQ15" s="1"/>
      <c r="BR15" s="1"/>
      <c r="BS15" s="1"/>
      <c r="BT15" s="1">
        <v>303.5</v>
      </c>
      <c r="BU15" s="1"/>
      <c r="BV15" s="1"/>
      <c r="BW15" s="1"/>
      <c r="BX15" s="1"/>
      <c r="BY15" s="1">
        <f>AVERAGE(BR15:BU15)</f>
        <v>303.5</v>
      </c>
      <c r="BZ15" s="1">
        <f>BY15/1000</f>
        <v>0.30349999999999999</v>
      </c>
      <c r="CA15" s="1">
        <f t="shared" si="6"/>
        <v>303.5</v>
      </c>
      <c r="CB15" s="12">
        <f t="shared" si="7"/>
        <v>0.30349999999999999</v>
      </c>
      <c r="CC15" s="13">
        <f t="shared" si="8"/>
        <v>1.8930812499999998</v>
      </c>
      <c r="CD15" s="6">
        <v>17</v>
      </c>
      <c r="CE15" s="6">
        <v>9.1199999999999992</v>
      </c>
      <c r="CF15" s="6">
        <f>AVERAGE(CD15:CE15)</f>
        <v>13.059999999999999</v>
      </c>
      <c r="CG15" s="6">
        <v>41.9</v>
      </c>
      <c r="CH15" s="6">
        <v>58</v>
      </c>
      <c r="CI15" s="6">
        <f>AVERAGE(CG15:CH15)</f>
        <v>49.95</v>
      </c>
      <c r="CJ15" s="13">
        <f t="shared" si="11"/>
        <v>3636.3426688632621</v>
      </c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</row>
    <row r="16" spans="1:160" x14ac:dyDescent="0.3">
      <c r="A16" s="6" t="s">
        <v>27</v>
      </c>
      <c r="B16" s="10" t="s">
        <v>27</v>
      </c>
      <c r="C16" s="10" t="s">
        <v>28</v>
      </c>
      <c r="D16" s="6" t="s">
        <v>28</v>
      </c>
      <c r="E16" s="7">
        <v>7.7110640000000004</v>
      </c>
      <c r="F16" s="7">
        <v>10.432615999999999</v>
      </c>
      <c r="G16" s="7"/>
      <c r="H16" s="7"/>
      <c r="I16" s="1"/>
      <c r="J16" s="1"/>
      <c r="K16" s="1">
        <v>9</v>
      </c>
      <c r="L16" s="1">
        <v>10.5</v>
      </c>
      <c r="M16" s="1"/>
      <c r="N16" s="1"/>
      <c r="O16" s="1">
        <v>7.5</v>
      </c>
      <c r="P16" s="1">
        <v>9</v>
      </c>
      <c r="Q16" s="12">
        <v>9.0718399999999999</v>
      </c>
      <c r="R16" s="1"/>
      <c r="S16" s="1"/>
      <c r="T16" s="1">
        <v>9</v>
      </c>
      <c r="U16" s="1">
        <v>9.75</v>
      </c>
      <c r="V16" s="1">
        <v>8.25</v>
      </c>
      <c r="W16" s="1"/>
      <c r="X16" s="1"/>
      <c r="Y16" s="1"/>
      <c r="Z16" s="1"/>
      <c r="AA16" s="1"/>
      <c r="AB16" s="1"/>
      <c r="AC16" s="1"/>
      <c r="AD16" s="1"/>
      <c r="AE16" s="1">
        <f t="shared" si="9"/>
        <v>9.0239466666666672</v>
      </c>
      <c r="AF16" s="1"/>
      <c r="AG16" s="1">
        <f t="shared" si="1"/>
        <v>9.0239466666666672</v>
      </c>
      <c r="AH16" s="1">
        <v>11</v>
      </c>
      <c r="AI16" s="1">
        <v>16</v>
      </c>
      <c r="AJ16" s="1">
        <v>12</v>
      </c>
      <c r="AK16" s="1">
        <v>14</v>
      </c>
      <c r="AL16" s="1">
        <v>13.5</v>
      </c>
      <c r="AM16" s="1">
        <v>13</v>
      </c>
      <c r="AN16" s="1"/>
      <c r="AO16" s="1"/>
      <c r="AP16" s="1">
        <v>14.3</v>
      </c>
      <c r="AQ16" s="1">
        <f t="shared" si="10"/>
        <v>13.25</v>
      </c>
      <c r="AR16" s="1">
        <f>AVERAGE(AN16:AP16)</f>
        <v>14.3</v>
      </c>
      <c r="AS16" s="12">
        <f t="shared" si="2"/>
        <v>13.775</v>
      </c>
      <c r="AT16" s="1">
        <v>5</v>
      </c>
      <c r="AU16" s="1"/>
      <c r="AV16" s="1"/>
      <c r="AW16" s="1"/>
      <c r="AX16" s="1"/>
      <c r="AY16" s="1"/>
      <c r="AZ16" s="1">
        <v>3.6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>
        <f>AVERAGE(AT16:AU16)</f>
        <v>5</v>
      </c>
      <c r="BM16" s="1">
        <f t="shared" si="12"/>
        <v>3.6</v>
      </c>
      <c r="BN16" s="12">
        <f t="shared" si="3"/>
        <v>4.3</v>
      </c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2"/>
      <c r="CC16" s="13">
        <f t="shared" si="8"/>
        <v>0</v>
      </c>
      <c r="CD16" s="6"/>
      <c r="CE16" s="6"/>
      <c r="CF16" s="6"/>
      <c r="CG16" s="6"/>
      <c r="CH16" s="6"/>
      <c r="CI16" s="6"/>
      <c r="CJ16" s="13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</row>
    <row r="17" spans="1:160" x14ac:dyDescent="0.3">
      <c r="A17" s="6" t="s">
        <v>29</v>
      </c>
      <c r="B17" s="10" t="s">
        <v>29</v>
      </c>
      <c r="C17" s="10" t="s">
        <v>30</v>
      </c>
      <c r="D17" s="6" t="s">
        <v>31</v>
      </c>
      <c r="E17" s="7"/>
      <c r="F17" s="7"/>
      <c r="G17" s="7">
        <v>27.5</v>
      </c>
      <c r="H17" s="7">
        <v>28.5</v>
      </c>
      <c r="I17" s="1">
        <v>24.947559999999999</v>
      </c>
      <c r="J17" s="1">
        <v>34.019399999999997</v>
      </c>
      <c r="K17" s="1"/>
      <c r="L17" s="1"/>
      <c r="M17" s="1">
        <v>20.411639999999998</v>
      </c>
      <c r="N17" s="1">
        <v>27.215520000000001</v>
      </c>
      <c r="O17" s="1"/>
      <c r="P17" s="1"/>
      <c r="Q17" s="12">
        <v>26.648530000000001</v>
      </c>
      <c r="R17" s="1">
        <v>29.48348</v>
      </c>
      <c r="S17" s="1">
        <v>23.813580000000002</v>
      </c>
      <c r="T17" s="1">
        <v>28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f t="shared" si="9"/>
        <v>27.099019999999999</v>
      </c>
      <c r="AF17" s="1"/>
      <c r="AG17" s="1">
        <f t="shared" si="1"/>
        <v>27.099019999999999</v>
      </c>
      <c r="AH17" s="1">
        <v>12</v>
      </c>
      <c r="AI17" s="1">
        <v>14</v>
      </c>
      <c r="AJ17" s="1">
        <v>12</v>
      </c>
      <c r="AK17" s="1">
        <v>14</v>
      </c>
      <c r="AL17" s="1">
        <v>13</v>
      </c>
      <c r="AM17" s="1">
        <v>13</v>
      </c>
      <c r="AN17" s="1"/>
      <c r="AO17" s="1"/>
      <c r="AP17" s="1"/>
      <c r="AQ17" s="1">
        <f t="shared" si="10"/>
        <v>13</v>
      </c>
      <c r="AR17" s="1"/>
      <c r="AS17" s="12">
        <f t="shared" si="2"/>
        <v>13</v>
      </c>
      <c r="AT17" s="1">
        <v>9.5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>
        <f>AVERAGE(AT17:AU17)</f>
        <v>9.5</v>
      </c>
      <c r="BM17" s="1"/>
      <c r="BN17" s="12">
        <f t="shared" si="3"/>
        <v>9.5</v>
      </c>
      <c r="BO17" s="1"/>
      <c r="BP17" s="1"/>
      <c r="BQ17" s="1">
        <v>453.59199999999998</v>
      </c>
      <c r="BR17" s="1"/>
      <c r="BS17" s="1"/>
      <c r="BT17" s="1">
        <v>425</v>
      </c>
      <c r="BU17" s="1"/>
      <c r="BV17" s="1"/>
      <c r="BW17" s="1"/>
      <c r="BX17" s="1">
        <v>453.59199999999998</v>
      </c>
      <c r="BY17" s="1">
        <f>AVERAGE(BR17:BU17)</f>
        <v>425</v>
      </c>
      <c r="BZ17" s="1">
        <f>BY17/1000</f>
        <v>0.42499999999999999</v>
      </c>
      <c r="CA17" s="1">
        <f>AVERAGE(BQ17:BU17)</f>
        <v>439.29599999999999</v>
      </c>
      <c r="CB17" s="12">
        <f>CA17/1000</f>
        <v>0.43929600000000002</v>
      </c>
      <c r="CC17" s="13">
        <f t="shared" si="8"/>
        <v>4.1733120000000001</v>
      </c>
      <c r="CD17" s="6"/>
      <c r="CE17" s="6"/>
      <c r="CF17" s="6"/>
      <c r="CG17" s="6"/>
      <c r="CH17" s="6"/>
      <c r="CI17" s="6"/>
      <c r="CJ17" s="13">
        <f>((Q17-CB17)/CB17)*100</f>
        <v>5966.1899949009321</v>
      </c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</row>
    <row r="18" spans="1:160" x14ac:dyDescent="0.3">
      <c r="A18" s="6" t="s">
        <v>32</v>
      </c>
      <c r="B18" s="10" t="s">
        <v>32</v>
      </c>
      <c r="C18" s="10" t="s">
        <v>33</v>
      </c>
      <c r="D18" s="6" t="s">
        <v>33</v>
      </c>
      <c r="E18" s="7">
        <v>20.411639999999998</v>
      </c>
      <c r="F18" s="7">
        <v>24.947559999999999</v>
      </c>
      <c r="G18" s="7"/>
      <c r="H18" s="7"/>
      <c r="I18" s="1"/>
      <c r="J18" s="1"/>
      <c r="K18" s="1">
        <v>18</v>
      </c>
      <c r="L18" s="1">
        <v>27</v>
      </c>
      <c r="M18" s="1"/>
      <c r="N18" s="1"/>
      <c r="O18" s="1">
        <v>18</v>
      </c>
      <c r="P18" s="1">
        <v>27</v>
      </c>
      <c r="Q18" s="12">
        <v>22.679600000000001</v>
      </c>
      <c r="R18" s="1"/>
      <c r="S18" s="1"/>
      <c r="T18" s="1">
        <v>22.5</v>
      </c>
      <c r="U18" s="1">
        <v>22.5</v>
      </c>
      <c r="V18" s="1">
        <v>22.5</v>
      </c>
      <c r="W18" s="1">
        <f>AVERAGE(X18:Y18)</f>
        <v>22.5</v>
      </c>
      <c r="X18" s="1">
        <v>22.5</v>
      </c>
      <c r="Y18" s="1"/>
      <c r="Z18" s="1"/>
      <c r="AA18" s="1"/>
      <c r="AB18" s="1"/>
      <c r="AC18" s="1"/>
      <c r="AD18" s="1"/>
      <c r="AE18" s="1">
        <f t="shared" si="9"/>
        <v>22.559866666666665</v>
      </c>
      <c r="AF18" s="1">
        <f>AVERAGE(X18:AD18)</f>
        <v>22.5</v>
      </c>
      <c r="AG18" s="1">
        <f t="shared" si="1"/>
        <v>22.529933333333332</v>
      </c>
      <c r="AH18" s="1">
        <v>12</v>
      </c>
      <c r="AI18" s="1">
        <v>14</v>
      </c>
      <c r="AJ18" s="1">
        <v>12</v>
      </c>
      <c r="AK18" s="1">
        <v>14</v>
      </c>
      <c r="AL18" s="1">
        <v>13</v>
      </c>
      <c r="AM18" s="1">
        <v>13</v>
      </c>
      <c r="AN18" s="1"/>
      <c r="AO18" s="1">
        <v>13.7</v>
      </c>
      <c r="AP18" s="1">
        <v>12.3</v>
      </c>
      <c r="AQ18" s="1">
        <f t="shared" si="10"/>
        <v>13</v>
      </c>
      <c r="AR18" s="1">
        <f>AVERAGE(AN18:AP18)</f>
        <v>13</v>
      </c>
      <c r="AS18" s="12">
        <f t="shared" si="2"/>
        <v>13</v>
      </c>
      <c r="AT18" s="1">
        <v>8</v>
      </c>
      <c r="AU18" s="1"/>
      <c r="AV18" s="1"/>
      <c r="AW18" s="1"/>
      <c r="AX18" s="1"/>
      <c r="AY18" s="1"/>
      <c r="AZ18" s="1">
        <v>5.4</v>
      </c>
      <c r="BA18" s="1"/>
      <c r="BB18" s="1"/>
      <c r="BC18" s="1"/>
      <c r="BD18" s="1"/>
      <c r="BE18" s="1">
        <v>6</v>
      </c>
      <c r="BF18" s="1"/>
      <c r="BG18" s="1"/>
      <c r="BH18" s="1"/>
      <c r="BI18" s="1"/>
      <c r="BJ18" s="1"/>
      <c r="BK18" s="1"/>
      <c r="BL18" s="1">
        <f>AVERAGE(AT18:AU18)</f>
        <v>8</v>
      </c>
      <c r="BM18" s="1">
        <f t="shared" ref="BM18:BM27" si="13">AVERAGE(AV18:BI18)</f>
        <v>5.7</v>
      </c>
      <c r="BN18" s="12">
        <f t="shared" si="3"/>
        <v>6.4666666666666659</v>
      </c>
      <c r="BO18" s="1"/>
      <c r="BP18" s="1"/>
      <c r="BQ18" s="1">
        <v>255.1455</v>
      </c>
      <c r="BR18" s="1">
        <v>298</v>
      </c>
      <c r="BS18" s="1"/>
      <c r="BT18" s="1">
        <v>395</v>
      </c>
      <c r="BU18" s="1"/>
      <c r="BV18" s="1">
        <v>298</v>
      </c>
      <c r="BW18" s="1"/>
      <c r="BX18" s="1">
        <v>255.1455</v>
      </c>
      <c r="BY18" s="1">
        <f>AVERAGE(BR18:BU18)</f>
        <v>346.5</v>
      </c>
      <c r="BZ18" s="1">
        <f>BY18/1000</f>
        <v>0.34649999999999997</v>
      </c>
      <c r="CA18" s="1">
        <f>AVERAGE(BQ18:BU18)</f>
        <v>316.04849999999999</v>
      </c>
      <c r="CB18" s="12">
        <f>CA18/1000</f>
        <v>0.31604850000000001</v>
      </c>
      <c r="CC18" s="13">
        <f t="shared" si="8"/>
        <v>2.0437802999999999</v>
      </c>
      <c r="CD18" s="6"/>
      <c r="CE18" s="6"/>
      <c r="CF18" s="6"/>
      <c r="CG18" s="6"/>
      <c r="CH18" s="6"/>
      <c r="CI18" s="6"/>
      <c r="CJ18" s="13">
        <f>((Q18-CB18)/CB18)*100</f>
        <v>7075.9872298080836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</row>
    <row r="19" spans="1:160" x14ac:dyDescent="0.3">
      <c r="A19" s="6" t="s">
        <v>34</v>
      </c>
      <c r="B19" s="10" t="s">
        <v>34</v>
      </c>
      <c r="C19" s="10" t="s">
        <v>35</v>
      </c>
      <c r="D19" s="6" t="s">
        <v>36</v>
      </c>
      <c r="E19" s="7">
        <v>5.4431039999999999</v>
      </c>
      <c r="F19" s="7">
        <v>8.1646560000000008</v>
      </c>
      <c r="G19" s="7">
        <v>3</v>
      </c>
      <c r="H19" s="7">
        <v>6</v>
      </c>
      <c r="I19" s="1"/>
      <c r="J19" s="1"/>
      <c r="K19" s="1"/>
      <c r="L19" s="1"/>
      <c r="M19" s="1"/>
      <c r="N19" s="1"/>
      <c r="O19" s="1"/>
      <c r="P19" s="1"/>
      <c r="Q19" s="12">
        <v>6.8038800000000004</v>
      </c>
      <c r="R19" s="1"/>
      <c r="S19" s="1"/>
      <c r="T19" s="1">
        <v>4.5</v>
      </c>
      <c r="U19" s="1"/>
      <c r="V19" s="1"/>
      <c r="W19" s="1"/>
      <c r="X19" s="1"/>
      <c r="Y19" s="1"/>
      <c r="Z19" s="1"/>
      <c r="AA19" s="1">
        <v>5</v>
      </c>
      <c r="AB19" s="1"/>
      <c r="AC19" s="1"/>
      <c r="AD19" s="1">
        <v>8.16</v>
      </c>
      <c r="AE19" s="1">
        <f t="shared" si="9"/>
        <v>5.6519399999999997</v>
      </c>
      <c r="AF19" s="1">
        <f>AVERAGE(X19:AD19)</f>
        <v>6.58</v>
      </c>
      <c r="AG19" s="1">
        <f t="shared" si="1"/>
        <v>6.1159699999999999</v>
      </c>
      <c r="AH19" s="1">
        <v>14</v>
      </c>
      <c r="AI19" s="1">
        <v>15</v>
      </c>
      <c r="AJ19" s="1">
        <v>14</v>
      </c>
      <c r="AK19" s="1">
        <v>16</v>
      </c>
      <c r="AL19" s="1">
        <v>14.5</v>
      </c>
      <c r="AM19" s="1">
        <v>15</v>
      </c>
      <c r="AN19" s="1"/>
      <c r="AO19" s="1">
        <v>12.7</v>
      </c>
      <c r="AP19" s="1"/>
      <c r="AQ19" s="1">
        <f t="shared" si="10"/>
        <v>14.75</v>
      </c>
      <c r="AR19" s="1">
        <f>AVERAGE(AN19:AP19)</f>
        <v>12.7</v>
      </c>
      <c r="AS19" s="12">
        <f t="shared" si="2"/>
        <v>13.725</v>
      </c>
      <c r="AT19" s="1"/>
      <c r="AU19" s="1"/>
      <c r="AV19" s="1"/>
      <c r="AW19" s="1"/>
      <c r="AX19" s="1"/>
      <c r="AY19" s="1"/>
      <c r="AZ19" s="1">
        <v>4.5999999999999996</v>
      </c>
      <c r="BA19" s="1"/>
      <c r="BB19" s="1"/>
      <c r="BC19" s="1"/>
      <c r="BD19" s="1"/>
      <c r="BE19" s="1"/>
      <c r="BF19" s="1">
        <v>3.75</v>
      </c>
      <c r="BG19" s="1"/>
      <c r="BH19" s="1"/>
      <c r="BI19" s="1"/>
      <c r="BJ19" s="1"/>
      <c r="BK19" s="1"/>
      <c r="BL19" s="1"/>
      <c r="BM19" s="1">
        <f t="shared" si="13"/>
        <v>4.1749999999999998</v>
      </c>
      <c r="BN19" s="12">
        <f t="shared" si="3"/>
        <v>4.1749999999999998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2"/>
      <c r="CC19" s="13"/>
      <c r="CD19" s="6"/>
      <c r="CE19" s="6"/>
      <c r="CF19" s="6"/>
      <c r="CG19" s="6"/>
      <c r="CH19" s="6"/>
      <c r="CI19" s="6"/>
      <c r="CJ19" s="13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</row>
    <row r="20" spans="1:160" x14ac:dyDescent="0.3">
      <c r="A20" s="6" t="s">
        <v>37</v>
      </c>
      <c r="B20" s="10" t="s">
        <v>37</v>
      </c>
      <c r="C20" s="10" t="s">
        <v>38</v>
      </c>
      <c r="D20" s="6" t="s">
        <v>39</v>
      </c>
      <c r="E20" s="7"/>
      <c r="F20" s="7"/>
      <c r="G20" s="7">
        <v>28</v>
      </c>
      <c r="H20" s="7">
        <v>34</v>
      </c>
      <c r="I20" s="1">
        <v>27.215520000000001</v>
      </c>
      <c r="J20" s="1">
        <v>36.28736</v>
      </c>
      <c r="K20" s="1"/>
      <c r="L20" s="1"/>
      <c r="M20" s="1">
        <v>18.14368</v>
      </c>
      <c r="N20" s="1">
        <v>27.215520000000001</v>
      </c>
      <c r="O20" s="1"/>
      <c r="P20" s="1"/>
      <c r="Q20" s="12">
        <v>27.215520000000001</v>
      </c>
      <c r="R20" s="1">
        <v>31.751439999999999</v>
      </c>
      <c r="S20" s="1">
        <v>22.679600000000001</v>
      </c>
      <c r="T20" s="1">
        <v>31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f t="shared" si="9"/>
        <v>28.477013333333332</v>
      </c>
      <c r="AF20" s="1"/>
      <c r="AG20" s="1">
        <f t="shared" si="1"/>
        <v>28.477013333333332</v>
      </c>
      <c r="AH20" s="1">
        <v>14</v>
      </c>
      <c r="AI20" s="1">
        <v>16</v>
      </c>
      <c r="AJ20" s="1">
        <v>12</v>
      </c>
      <c r="AK20" s="1">
        <v>14</v>
      </c>
      <c r="AL20" s="1">
        <v>15</v>
      </c>
      <c r="AM20" s="1">
        <v>13</v>
      </c>
      <c r="AN20" s="1"/>
      <c r="AO20" s="1"/>
      <c r="AP20" s="1"/>
      <c r="AQ20" s="1">
        <f t="shared" si="10"/>
        <v>14</v>
      </c>
      <c r="AR20" s="1"/>
      <c r="AS20" s="12">
        <f t="shared" si="2"/>
        <v>14</v>
      </c>
      <c r="AT20" s="1">
        <v>9.5</v>
      </c>
      <c r="AU20" s="1"/>
      <c r="AV20" s="1"/>
      <c r="AW20" s="1"/>
      <c r="AX20" s="1"/>
      <c r="AY20" s="1"/>
      <c r="AZ20" s="1">
        <v>7.1</v>
      </c>
      <c r="BA20" s="1"/>
      <c r="BB20" s="1"/>
      <c r="BC20" s="1"/>
      <c r="BD20" s="1"/>
      <c r="BE20" s="1">
        <v>7</v>
      </c>
      <c r="BF20" s="1"/>
      <c r="BG20" s="1"/>
      <c r="BH20" s="1"/>
      <c r="BI20" s="1"/>
      <c r="BJ20" s="1"/>
      <c r="BK20" s="1"/>
      <c r="BL20" s="1">
        <f>AVERAGE(AT20:AU20)</f>
        <v>9.5</v>
      </c>
      <c r="BM20" s="1">
        <f t="shared" si="13"/>
        <v>7.05</v>
      </c>
      <c r="BN20" s="12">
        <f t="shared" si="3"/>
        <v>7.8666666666666671</v>
      </c>
      <c r="BO20" s="1"/>
      <c r="BP20" s="1"/>
      <c r="BQ20" s="1">
        <v>453.59199999999998</v>
      </c>
      <c r="BR20" s="1"/>
      <c r="BS20" s="1"/>
      <c r="BT20" s="1"/>
      <c r="BU20" s="1"/>
      <c r="BV20" s="1"/>
      <c r="BW20" s="1"/>
      <c r="BX20" s="1">
        <v>453.59199999999998</v>
      </c>
      <c r="BY20" s="1"/>
      <c r="BZ20" s="1"/>
      <c r="CA20" s="1">
        <f t="shared" ref="CA20:CA27" si="14">AVERAGE(BQ20:BU20)</f>
        <v>453.59199999999998</v>
      </c>
      <c r="CB20" s="12">
        <f t="shared" ref="CB20:CB27" si="15">CA20/1000</f>
        <v>0.453592</v>
      </c>
      <c r="CC20" s="13">
        <f t="shared" ref="CC20:CC27" si="16">CB20*BN20</f>
        <v>3.5682570666666669</v>
      </c>
      <c r="CD20" s="6"/>
      <c r="CE20" s="6"/>
      <c r="CF20" s="6"/>
      <c r="CG20" s="6"/>
      <c r="CH20" s="6"/>
      <c r="CI20" s="6"/>
      <c r="CJ20" s="13">
        <f t="shared" ref="CJ20:CJ27" si="17">((Q20-CB20)/CB20)*100</f>
        <v>5900</v>
      </c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</row>
    <row r="21" spans="1:160" x14ac:dyDescent="0.3">
      <c r="A21" s="6" t="s">
        <v>40</v>
      </c>
      <c r="B21" s="10" t="s">
        <v>40</v>
      </c>
      <c r="C21" s="10" t="s">
        <v>41</v>
      </c>
      <c r="D21" s="6" t="s">
        <v>42</v>
      </c>
      <c r="E21" s="7"/>
      <c r="F21" s="7"/>
      <c r="G21" s="7"/>
      <c r="H21" s="7"/>
      <c r="I21" s="1">
        <v>36.28736</v>
      </c>
      <c r="J21" s="1">
        <v>52.163080000000001</v>
      </c>
      <c r="K21" s="1">
        <v>36</v>
      </c>
      <c r="L21" s="1">
        <v>52</v>
      </c>
      <c r="M21" s="1">
        <v>31.751439999999999</v>
      </c>
      <c r="N21" s="1">
        <v>43.091239999999999</v>
      </c>
      <c r="O21" s="1">
        <v>34</v>
      </c>
      <c r="P21" s="1">
        <v>43</v>
      </c>
      <c r="Q21" s="12">
        <v>40.823279999999997</v>
      </c>
      <c r="R21" s="1">
        <v>44.22522</v>
      </c>
      <c r="S21" s="1">
        <v>37.421340000000001</v>
      </c>
      <c r="T21" s="1">
        <v>41.25</v>
      </c>
      <c r="U21" s="1">
        <v>44</v>
      </c>
      <c r="V21" s="1">
        <v>38.5</v>
      </c>
      <c r="W21" s="1">
        <f>AVERAGE(X21:Y21)</f>
        <v>44</v>
      </c>
      <c r="X21" s="1">
        <v>44</v>
      </c>
      <c r="Y21" s="1"/>
      <c r="Z21" s="1"/>
      <c r="AA21" s="1">
        <v>45</v>
      </c>
      <c r="AB21" s="1">
        <v>40.94</v>
      </c>
      <c r="AC21" s="1"/>
      <c r="AD21" s="1"/>
      <c r="AE21" s="1">
        <f t="shared" si="9"/>
        <v>41.036640000000006</v>
      </c>
      <c r="AF21" s="1">
        <f t="shared" ref="AF21:AF27" si="18">AVERAGE(X21:AD21)</f>
        <v>43.313333333333333</v>
      </c>
      <c r="AG21" s="1">
        <f t="shared" si="1"/>
        <v>42.174986666666669</v>
      </c>
      <c r="AH21" s="1">
        <v>7</v>
      </c>
      <c r="AI21" s="1">
        <v>10</v>
      </c>
      <c r="AJ21" s="1">
        <v>7</v>
      </c>
      <c r="AK21" s="1">
        <v>9</v>
      </c>
      <c r="AL21" s="1">
        <v>8.5</v>
      </c>
      <c r="AM21" s="1">
        <v>8</v>
      </c>
      <c r="AN21" s="1">
        <v>8.15</v>
      </c>
      <c r="AO21" s="1"/>
      <c r="AP21" s="1">
        <v>7</v>
      </c>
      <c r="AQ21" s="1">
        <f t="shared" si="10"/>
        <v>8.25</v>
      </c>
      <c r="AR21" s="1">
        <f>AVERAGE(AN21:AP21)</f>
        <v>7.5750000000000002</v>
      </c>
      <c r="AS21" s="12">
        <f t="shared" si="2"/>
        <v>7.8</v>
      </c>
      <c r="AT21" s="1"/>
      <c r="AU21" s="1"/>
      <c r="AV21" s="1">
        <v>5.51</v>
      </c>
      <c r="AW21" s="1">
        <v>8.1999999999999993</v>
      </c>
      <c r="AX21" s="1"/>
      <c r="AY21" s="1">
        <v>5.5</v>
      </c>
      <c r="AZ21" s="1">
        <v>6.4</v>
      </c>
      <c r="BA21" s="1">
        <v>7.29</v>
      </c>
      <c r="BB21" s="1"/>
      <c r="BC21" s="1"/>
      <c r="BD21" s="1"/>
      <c r="BE21" s="1">
        <v>6</v>
      </c>
      <c r="BF21" s="1"/>
      <c r="BG21" s="1"/>
      <c r="BH21" s="1"/>
      <c r="BI21" s="1"/>
      <c r="BJ21" s="1"/>
      <c r="BK21" s="1"/>
      <c r="BL21" s="1"/>
      <c r="BM21" s="1">
        <f t="shared" si="13"/>
        <v>6.4833333333333334</v>
      </c>
      <c r="BN21" s="12">
        <f t="shared" si="3"/>
        <v>6.4833333333333334</v>
      </c>
      <c r="BO21" s="1"/>
      <c r="BP21" s="1"/>
      <c r="BQ21" s="1"/>
      <c r="BR21" s="1">
        <v>520</v>
      </c>
      <c r="BS21" s="1"/>
      <c r="BT21" s="1">
        <v>541</v>
      </c>
      <c r="BU21" s="1">
        <v>558</v>
      </c>
      <c r="BV21" s="1">
        <v>520</v>
      </c>
      <c r="BW21" s="1"/>
      <c r="BX21" s="1"/>
      <c r="BY21" s="1">
        <f t="shared" ref="BY21:BY27" si="19">AVERAGE(BR21:BU21)</f>
        <v>539.66666666666663</v>
      </c>
      <c r="BZ21" s="1">
        <f t="shared" ref="BZ21:BZ27" si="20">BY21/1000</f>
        <v>0.53966666666666663</v>
      </c>
      <c r="CA21" s="1">
        <f t="shared" si="14"/>
        <v>539.66666666666663</v>
      </c>
      <c r="CB21" s="12">
        <f t="shared" si="15"/>
        <v>0.53966666666666663</v>
      </c>
      <c r="CC21" s="13">
        <f t="shared" si="16"/>
        <v>3.4988388888888888</v>
      </c>
      <c r="CD21" s="6"/>
      <c r="CE21" s="6"/>
      <c r="CF21" s="6"/>
      <c r="CG21" s="6"/>
      <c r="CH21" s="6"/>
      <c r="CI21" s="6"/>
      <c r="CJ21" s="13">
        <f t="shared" si="17"/>
        <v>7464.5361334156887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</row>
    <row r="22" spans="1:160" x14ac:dyDescent="0.3">
      <c r="A22" s="6" t="s">
        <v>43</v>
      </c>
      <c r="B22" s="10" t="s">
        <v>43</v>
      </c>
      <c r="C22" s="10" t="s">
        <v>44</v>
      </c>
      <c r="D22" s="6" t="s">
        <v>44</v>
      </c>
      <c r="E22" s="7">
        <v>13.607760000000001</v>
      </c>
      <c r="F22" s="7">
        <v>24.947559999999999</v>
      </c>
      <c r="G22" s="7"/>
      <c r="H22" s="7"/>
      <c r="I22" s="1"/>
      <c r="J22" s="1"/>
      <c r="K22" s="1">
        <v>13.5</v>
      </c>
      <c r="L22" s="1">
        <v>20.5</v>
      </c>
      <c r="M22" s="1"/>
      <c r="N22" s="1"/>
      <c r="O22" s="1">
        <v>12</v>
      </c>
      <c r="P22" s="1">
        <v>19</v>
      </c>
      <c r="Q22" s="12">
        <v>19.277660000000001</v>
      </c>
      <c r="R22" s="1"/>
      <c r="S22" s="1"/>
      <c r="T22" s="1">
        <v>16.25</v>
      </c>
      <c r="U22" s="1">
        <v>17</v>
      </c>
      <c r="V22" s="1">
        <v>15.5</v>
      </c>
      <c r="W22" s="1">
        <f>AVERAGE(X22:Y22)</f>
        <v>15.5</v>
      </c>
      <c r="X22" s="1"/>
      <c r="Y22" s="1">
        <v>15.5</v>
      </c>
      <c r="Z22" s="1"/>
      <c r="AA22" s="1">
        <v>17</v>
      </c>
      <c r="AB22" s="1"/>
      <c r="AC22" s="1"/>
      <c r="AD22" s="1"/>
      <c r="AE22" s="1">
        <f t="shared" si="9"/>
        <v>17.259219999999999</v>
      </c>
      <c r="AF22" s="1">
        <f t="shared" si="18"/>
        <v>16.25</v>
      </c>
      <c r="AG22" s="1">
        <f t="shared" si="1"/>
        <v>16.75461</v>
      </c>
      <c r="AH22" s="1">
        <v>12</v>
      </c>
      <c r="AI22" s="1">
        <v>15</v>
      </c>
      <c r="AJ22" s="1">
        <v>12</v>
      </c>
      <c r="AK22" s="1">
        <v>15</v>
      </c>
      <c r="AL22" s="1">
        <v>13.5</v>
      </c>
      <c r="AM22" s="1">
        <v>13.5</v>
      </c>
      <c r="AN22" s="1"/>
      <c r="AO22" s="1">
        <v>13.5</v>
      </c>
      <c r="AP22" s="1">
        <v>13</v>
      </c>
      <c r="AQ22" s="1">
        <f t="shared" si="10"/>
        <v>13.5</v>
      </c>
      <c r="AR22" s="1">
        <f>AVERAGE(AN22:AP22)</f>
        <v>13.25</v>
      </c>
      <c r="AS22" s="12">
        <f t="shared" si="2"/>
        <v>13.333333333333334</v>
      </c>
      <c r="AT22" s="1">
        <v>6.5</v>
      </c>
      <c r="AU22" s="1"/>
      <c r="AV22" s="1"/>
      <c r="AW22" s="1"/>
      <c r="AX22" s="1"/>
      <c r="AY22" s="1">
        <v>7.5</v>
      </c>
      <c r="AZ22" s="1">
        <v>6</v>
      </c>
      <c r="BA22" s="1"/>
      <c r="BB22" s="1"/>
      <c r="BC22" s="1"/>
      <c r="BD22" s="1"/>
      <c r="BE22" s="1">
        <v>7</v>
      </c>
      <c r="BF22" s="1"/>
      <c r="BG22" s="1"/>
      <c r="BH22" s="1"/>
      <c r="BI22" s="1"/>
      <c r="BJ22" s="1"/>
      <c r="BK22" s="1"/>
      <c r="BL22" s="1">
        <f>AVERAGE(AT22:AU22)</f>
        <v>6.5</v>
      </c>
      <c r="BM22" s="1">
        <f t="shared" si="13"/>
        <v>6.833333333333333</v>
      </c>
      <c r="BN22" s="12">
        <f t="shared" si="3"/>
        <v>6.75</v>
      </c>
      <c r="BO22" s="1"/>
      <c r="BP22" s="1"/>
      <c r="BQ22" s="1">
        <v>453.59199999999998</v>
      </c>
      <c r="BR22" s="1">
        <v>362</v>
      </c>
      <c r="BS22" s="1"/>
      <c r="BT22" s="1">
        <v>350</v>
      </c>
      <c r="BU22" s="1"/>
      <c r="BV22" s="1"/>
      <c r="BW22" s="1">
        <v>362</v>
      </c>
      <c r="BX22" s="1">
        <v>453.59199999999998</v>
      </c>
      <c r="BY22" s="1">
        <f t="shared" si="19"/>
        <v>356</v>
      </c>
      <c r="BZ22" s="1">
        <f t="shared" si="20"/>
        <v>0.35599999999999998</v>
      </c>
      <c r="CA22" s="1">
        <f t="shared" si="14"/>
        <v>388.53066666666672</v>
      </c>
      <c r="CB22" s="12">
        <f t="shared" si="15"/>
        <v>0.38853066666666669</v>
      </c>
      <c r="CC22" s="13">
        <f t="shared" si="16"/>
        <v>2.622582</v>
      </c>
      <c r="CD22" s="6"/>
      <c r="CE22" s="6"/>
      <c r="CF22" s="6"/>
      <c r="CG22" s="6"/>
      <c r="CH22" s="6"/>
      <c r="CI22" s="6"/>
      <c r="CJ22" s="13">
        <f t="shared" si="17"/>
        <v>4861.6829902744694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</row>
    <row r="23" spans="1:160" x14ac:dyDescent="0.3">
      <c r="A23" s="6" t="s">
        <v>45</v>
      </c>
      <c r="B23" s="10" t="s">
        <v>45</v>
      </c>
      <c r="C23" s="10" t="s">
        <v>46</v>
      </c>
      <c r="D23" s="6" t="s">
        <v>46</v>
      </c>
      <c r="E23" s="7"/>
      <c r="F23" s="7"/>
      <c r="G23" s="7"/>
      <c r="H23" s="7"/>
      <c r="I23" s="1">
        <v>5.8966960000000004</v>
      </c>
      <c r="J23" s="1">
        <v>7.0306759999999997</v>
      </c>
      <c r="K23" s="1">
        <v>6</v>
      </c>
      <c r="L23" s="1">
        <v>7</v>
      </c>
      <c r="M23" s="1">
        <v>5.2163079999999997</v>
      </c>
      <c r="N23" s="1">
        <v>6.3502879999999999</v>
      </c>
      <c r="O23" s="1">
        <v>5</v>
      </c>
      <c r="P23" s="1">
        <v>6</v>
      </c>
      <c r="Q23" s="12">
        <v>6.1234919999999997</v>
      </c>
      <c r="R23" s="1">
        <v>6.463686</v>
      </c>
      <c r="S23" s="1">
        <v>5.7832980000000003</v>
      </c>
      <c r="T23" s="1">
        <v>6</v>
      </c>
      <c r="U23" s="1">
        <v>6.5</v>
      </c>
      <c r="V23" s="1">
        <v>5.5</v>
      </c>
      <c r="W23" s="1">
        <f>AVERAGE(X23:Y23)</f>
        <v>7.09</v>
      </c>
      <c r="X23" s="1">
        <v>7.49</v>
      </c>
      <c r="Y23" s="1">
        <v>6.69</v>
      </c>
      <c r="Z23" s="1"/>
      <c r="AA23" s="1"/>
      <c r="AB23" s="1"/>
      <c r="AC23" s="1"/>
      <c r="AD23" s="1"/>
      <c r="AE23" s="1">
        <f t="shared" si="9"/>
        <v>6.0617459999999994</v>
      </c>
      <c r="AF23" s="1">
        <f t="shared" si="18"/>
        <v>7.09</v>
      </c>
      <c r="AG23" s="1">
        <f t="shared" si="1"/>
        <v>6.5758729999999996</v>
      </c>
      <c r="AH23" s="1">
        <v>12</v>
      </c>
      <c r="AI23" s="1">
        <v>15</v>
      </c>
      <c r="AJ23" s="1">
        <v>13</v>
      </c>
      <c r="AK23" s="1">
        <v>15</v>
      </c>
      <c r="AL23" s="1">
        <v>13.5</v>
      </c>
      <c r="AM23" s="1">
        <v>14</v>
      </c>
      <c r="AN23" s="1"/>
      <c r="AO23" s="1">
        <v>12</v>
      </c>
      <c r="AP23" s="1">
        <v>13.8</v>
      </c>
      <c r="AQ23" s="1">
        <f t="shared" si="10"/>
        <v>13.75</v>
      </c>
      <c r="AR23" s="1">
        <f>AVERAGE(AN23:AP23)</f>
        <v>12.9</v>
      </c>
      <c r="AS23" s="12">
        <f t="shared" si="2"/>
        <v>13.183333333333332</v>
      </c>
      <c r="AT23" s="1">
        <v>5.5</v>
      </c>
      <c r="AU23" s="1"/>
      <c r="AV23" s="1"/>
      <c r="AW23" s="1"/>
      <c r="AX23" s="1"/>
      <c r="AY23" s="1"/>
      <c r="AZ23" s="1">
        <v>5.0999999999999996</v>
      </c>
      <c r="BA23" s="1"/>
      <c r="BB23" s="1"/>
      <c r="BC23" s="1"/>
      <c r="BD23" s="1"/>
      <c r="BE23" s="1">
        <v>5</v>
      </c>
      <c r="BF23" s="1"/>
      <c r="BG23" s="1"/>
      <c r="BH23" s="1"/>
      <c r="BI23" s="1">
        <f>BO23+BP23</f>
        <v>4.3900000000000006</v>
      </c>
      <c r="BJ23" s="1"/>
      <c r="BK23" s="1"/>
      <c r="BL23" s="1">
        <f>AVERAGE(AT23:AU23)</f>
        <v>5.5</v>
      </c>
      <c r="BM23" s="1">
        <f t="shared" si="13"/>
        <v>4.83</v>
      </c>
      <c r="BN23" s="12">
        <f t="shared" si="3"/>
        <v>4.9975000000000005</v>
      </c>
      <c r="BO23" s="1">
        <v>2.29</v>
      </c>
      <c r="BP23" s="1">
        <v>2.1</v>
      </c>
      <c r="BQ23" s="1">
        <v>283.495</v>
      </c>
      <c r="BR23" s="1">
        <v>177</v>
      </c>
      <c r="BS23" s="1"/>
      <c r="BT23" s="1">
        <v>193</v>
      </c>
      <c r="BU23" s="1"/>
      <c r="BV23" s="1">
        <v>184</v>
      </c>
      <c r="BW23" s="1">
        <v>170</v>
      </c>
      <c r="BX23" s="1">
        <v>283.495</v>
      </c>
      <c r="BY23" s="1">
        <f t="shared" si="19"/>
        <v>185</v>
      </c>
      <c r="BZ23" s="1">
        <f t="shared" si="20"/>
        <v>0.185</v>
      </c>
      <c r="CA23" s="1">
        <f t="shared" si="14"/>
        <v>217.83166666666668</v>
      </c>
      <c r="CB23" s="12">
        <f t="shared" si="15"/>
        <v>0.21783166666666667</v>
      </c>
      <c r="CC23" s="13">
        <f t="shared" si="16"/>
        <v>1.0886137541666667</v>
      </c>
      <c r="CD23" s="6"/>
      <c r="CE23" s="6"/>
      <c r="CF23" s="6"/>
      <c r="CG23" s="6"/>
      <c r="CH23" s="6"/>
      <c r="CI23" s="6"/>
      <c r="CJ23" s="13">
        <f t="shared" si="17"/>
        <v>2711.1119442382874</v>
      </c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</row>
    <row r="24" spans="1:160" x14ac:dyDescent="0.3">
      <c r="A24" s="6" t="s">
        <v>47</v>
      </c>
      <c r="B24" s="10" t="s">
        <v>47</v>
      </c>
      <c r="C24" s="10" t="s">
        <v>48</v>
      </c>
      <c r="D24" s="6" t="s">
        <v>48</v>
      </c>
      <c r="E24" s="7"/>
      <c r="F24" s="7"/>
      <c r="G24" s="7"/>
      <c r="H24" s="7"/>
      <c r="I24" s="1">
        <v>34.019399999999997</v>
      </c>
      <c r="J24" s="1">
        <v>47.627160000000003</v>
      </c>
      <c r="K24" s="1">
        <v>34</v>
      </c>
      <c r="L24" s="1">
        <v>48</v>
      </c>
      <c r="M24" s="1">
        <v>27.215520000000001</v>
      </c>
      <c r="N24" s="1">
        <v>38.555320000000002</v>
      </c>
      <c r="O24" s="1">
        <v>34</v>
      </c>
      <c r="P24" s="1">
        <v>41</v>
      </c>
      <c r="Q24" s="12">
        <v>36.854349999999997</v>
      </c>
      <c r="R24" s="1">
        <v>40.823279999999997</v>
      </c>
      <c r="S24" s="1">
        <v>32.885420000000003</v>
      </c>
      <c r="T24" s="1">
        <v>39.25</v>
      </c>
      <c r="U24" s="1">
        <v>41</v>
      </c>
      <c r="V24" s="1">
        <v>37.5</v>
      </c>
      <c r="W24" s="1">
        <f>AVERAGE(X24:Y24)</f>
        <v>41</v>
      </c>
      <c r="X24" s="1">
        <v>41</v>
      </c>
      <c r="Y24" s="1">
        <v>41</v>
      </c>
      <c r="Z24" s="1"/>
      <c r="AA24" s="1"/>
      <c r="AB24" s="1"/>
      <c r="AC24" s="1"/>
      <c r="AD24" s="1"/>
      <c r="AE24" s="1">
        <f t="shared" si="9"/>
        <v>38.052174999999998</v>
      </c>
      <c r="AF24" s="1">
        <f t="shared" si="18"/>
        <v>41</v>
      </c>
      <c r="AG24" s="1">
        <f t="shared" si="1"/>
        <v>39.526087500000003</v>
      </c>
      <c r="AH24" s="1">
        <v>9</v>
      </c>
      <c r="AI24" s="1">
        <v>14</v>
      </c>
      <c r="AJ24" s="1">
        <v>9</v>
      </c>
      <c r="AK24" s="1">
        <v>13</v>
      </c>
      <c r="AL24" s="1">
        <v>11.5</v>
      </c>
      <c r="AM24" s="1">
        <v>11</v>
      </c>
      <c r="AN24" s="1"/>
      <c r="AO24" s="1"/>
      <c r="AP24" s="1"/>
      <c r="AQ24" s="1">
        <f t="shared" si="10"/>
        <v>11.25</v>
      </c>
      <c r="AR24" s="1"/>
      <c r="AS24" s="12">
        <f t="shared" si="2"/>
        <v>11.25</v>
      </c>
      <c r="AT24" s="1"/>
      <c r="AU24" s="1"/>
      <c r="AV24" s="1"/>
      <c r="AW24" s="1"/>
      <c r="AX24" s="1"/>
      <c r="AY24" s="1"/>
      <c r="AZ24" s="1">
        <v>7.6</v>
      </c>
      <c r="BA24" s="1"/>
      <c r="BB24" s="1"/>
      <c r="BC24" s="1"/>
      <c r="BD24" s="1"/>
      <c r="BE24" s="1">
        <v>11</v>
      </c>
      <c r="BF24" s="1"/>
      <c r="BG24" s="1"/>
      <c r="BH24" s="1"/>
      <c r="BI24" s="1"/>
      <c r="BJ24" s="1"/>
      <c r="BK24" s="1"/>
      <c r="BL24" s="1"/>
      <c r="BM24" s="1">
        <f t="shared" si="13"/>
        <v>9.3000000000000007</v>
      </c>
      <c r="BN24" s="12">
        <f t="shared" si="3"/>
        <v>9.3000000000000007</v>
      </c>
      <c r="BO24" s="1"/>
      <c r="BP24" s="1"/>
      <c r="BQ24" s="1"/>
      <c r="BR24" s="1">
        <v>375.5</v>
      </c>
      <c r="BS24" s="1"/>
      <c r="BT24" s="1">
        <v>446</v>
      </c>
      <c r="BU24" s="1"/>
      <c r="BV24" s="1">
        <v>359</v>
      </c>
      <c r="BW24" s="1">
        <v>392</v>
      </c>
      <c r="BX24" s="1"/>
      <c r="BY24" s="1">
        <f t="shared" si="19"/>
        <v>410.75</v>
      </c>
      <c r="BZ24" s="1">
        <f t="shared" si="20"/>
        <v>0.41075</v>
      </c>
      <c r="CA24" s="1">
        <f t="shared" si="14"/>
        <v>410.75</v>
      </c>
      <c r="CB24" s="12">
        <f t="shared" si="15"/>
        <v>0.41075</v>
      </c>
      <c r="CC24" s="13">
        <f t="shared" si="16"/>
        <v>3.8199750000000003</v>
      </c>
      <c r="CD24" s="6"/>
      <c r="CE24" s="6"/>
      <c r="CF24" s="6"/>
      <c r="CG24" s="6"/>
      <c r="CH24" s="6"/>
      <c r="CI24" s="6"/>
      <c r="CJ24" s="13">
        <f t="shared" si="17"/>
        <v>8872.4528301886785</v>
      </c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</row>
    <row r="25" spans="1:160" x14ac:dyDescent="0.3">
      <c r="A25" s="6" t="s">
        <v>49</v>
      </c>
      <c r="B25" s="10" t="s">
        <v>49</v>
      </c>
      <c r="C25" s="10" t="s">
        <v>50</v>
      </c>
      <c r="D25" s="6" t="s">
        <v>50</v>
      </c>
      <c r="E25" s="7">
        <v>5.4431039999999999</v>
      </c>
      <c r="F25" s="7">
        <v>11.3398</v>
      </c>
      <c r="G25" s="7"/>
      <c r="H25" s="7">
        <v>11</v>
      </c>
      <c r="I25" s="1"/>
      <c r="J25" s="1"/>
      <c r="K25" s="1"/>
      <c r="L25" s="1"/>
      <c r="M25" s="1"/>
      <c r="N25" s="1"/>
      <c r="O25" s="1"/>
      <c r="P25" s="1"/>
      <c r="Q25" s="12">
        <v>8.3914519999999992</v>
      </c>
      <c r="R25" s="1"/>
      <c r="S25" s="1"/>
      <c r="T25" s="1">
        <v>11</v>
      </c>
      <c r="U25" s="1"/>
      <c r="V25" s="1"/>
      <c r="W25" s="1"/>
      <c r="X25" s="1"/>
      <c r="Y25" s="1"/>
      <c r="Z25" s="1"/>
      <c r="AA25" s="1">
        <v>8</v>
      </c>
      <c r="AB25" s="1"/>
      <c r="AC25" s="1"/>
      <c r="AD25" s="1">
        <v>7.94</v>
      </c>
      <c r="AE25" s="1">
        <f t="shared" si="9"/>
        <v>9.2609680000000001</v>
      </c>
      <c r="AF25" s="1">
        <f t="shared" si="18"/>
        <v>7.9700000000000006</v>
      </c>
      <c r="AG25" s="1">
        <f t="shared" si="1"/>
        <v>8.6154840000000004</v>
      </c>
      <c r="AH25" s="1">
        <v>11</v>
      </c>
      <c r="AI25" s="1">
        <v>13</v>
      </c>
      <c r="AJ25" s="1">
        <v>13</v>
      </c>
      <c r="AK25" s="1">
        <v>14</v>
      </c>
      <c r="AL25" s="1">
        <v>12</v>
      </c>
      <c r="AM25" s="1">
        <v>13.5</v>
      </c>
      <c r="AN25" s="1"/>
      <c r="AO25" s="1"/>
      <c r="AP25" s="1"/>
      <c r="AQ25" s="1">
        <f t="shared" si="10"/>
        <v>12.75</v>
      </c>
      <c r="AR25" s="1"/>
      <c r="AS25" s="12">
        <f t="shared" si="2"/>
        <v>12.75</v>
      </c>
      <c r="AT25" s="1"/>
      <c r="AU25" s="1"/>
      <c r="AV25" s="1"/>
      <c r="AW25" s="1"/>
      <c r="AX25" s="1"/>
      <c r="AY25" s="1">
        <v>2</v>
      </c>
      <c r="AZ25" s="1">
        <v>4.0999999999999996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>
        <f t="shared" si="13"/>
        <v>3.05</v>
      </c>
      <c r="BN25" s="12">
        <f t="shared" si="3"/>
        <v>3.05</v>
      </c>
      <c r="BO25" s="1"/>
      <c r="BP25" s="1"/>
      <c r="BQ25" s="1"/>
      <c r="BR25" s="1"/>
      <c r="BS25" s="1"/>
      <c r="BT25" s="1">
        <v>200</v>
      </c>
      <c r="BU25" s="1"/>
      <c r="BV25" s="1"/>
      <c r="BW25" s="1"/>
      <c r="BX25" s="1"/>
      <c r="BY25" s="1">
        <f t="shared" si="19"/>
        <v>200</v>
      </c>
      <c r="BZ25" s="1">
        <f t="shared" si="20"/>
        <v>0.2</v>
      </c>
      <c r="CA25" s="1">
        <f t="shared" si="14"/>
        <v>200</v>
      </c>
      <c r="CB25" s="12">
        <f t="shared" si="15"/>
        <v>0.2</v>
      </c>
      <c r="CC25" s="13">
        <f t="shared" si="16"/>
        <v>0.61</v>
      </c>
      <c r="CD25" s="6"/>
      <c r="CE25" s="6"/>
      <c r="CF25" s="6"/>
      <c r="CG25" s="6"/>
      <c r="CH25" s="6"/>
      <c r="CI25" s="6"/>
      <c r="CJ25" s="13">
        <f t="shared" si="17"/>
        <v>4095.7259999999997</v>
      </c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</row>
    <row r="26" spans="1:160" x14ac:dyDescent="0.3">
      <c r="A26" s="6" t="s">
        <v>51</v>
      </c>
      <c r="B26" s="10" t="s">
        <v>51</v>
      </c>
      <c r="C26" s="10" t="s">
        <v>52</v>
      </c>
      <c r="D26" s="6" t="s">
        <v>52</v>
      </c>
      <c r="E26" s="7">
        <v>31.751439999999999</v>
      </c>
      <c r="F26" s="7">
        <v>49.895119999999999</v>
      </c>
      <c r="G26" s="7">
        <v>27</v>
      </c>
      <c r="H26" s="7">
        <v>40</v>
      </c>
      <c r="I26" s="1"/>
      <c r="J26" s="1"/>
      <c r="K26" s="1"/>
      <c r="L26" s="1"/>
      <c r="M26" s="1"/>
      <c r="N26" s="1"/>
      <c r="O26" s="1"/>
      <c r="P26" s="1"/>
      <c r="Q26" s="12">
        <v>40.823279999999997</v>
      </c>
      <c r="R26" s="1"/>
      <c r="S26" s="1"/>
      <c r="T26" s="1">
        <v>33.5</v>
      </c>
      <c r="U26" s="1"/>
      <c r="V26" s="1"/>
      <c r="W26" s="1">
        <f>AVERAGE(X26:Y26)</f>
        <v>42</v>
      </c>
      <c r="X26" s="1">
        <v>42</v>
      </c>
      <c r="Y26" s="1"/>
      <c r="Z26" s="1"/>
      <c r="AA26" s="1">
        <v>38</v>
      </c>
      <c r="AB26" s="1">
        <v>39.35</v>
      </c>
      <c r="AC26" s="1"/>
      <c r="AD26" s="1"/>
      <c r="AE26" s="1">
        <f t="shared" si="9"/>
        <v>37.161639999999998</v>
      </c>
      <c r="AF26" s="1">
        <f t="shared" si="18"/>
        <v>39.783333333333331</v>
      </c>
      <c r="AG26" s="1">
        <f t="shared" si="1"/>
        <v>38.472486666666668</v>
      </c>
      <c r="AH26" s="1">
        <v>10</v>
      </c>
      <c r="AI26" s="1">
        <v>12</v>
      </c>
      <c r="AJ26" s="1">
        <v>10</v>
      </c>
      <c r="AK26" s="1">
        <v>11</v>
      </c>
      <c r="AL26" s="1">
        <v>11</v>
      </c>
      <c r="AM26" s="1">
        <v>10.5</v>
      </c>
      <c r="AN26" s="1"/>
      <c r="AO26" s="1"/>
      <c r="AP26" s="1"/>
      <c r="AQ26" s="1">
        <f t="shared" si="10"/>
        <v>10.75</v>
      </c>
      <c r="AR26" s="1"/>
      <c r="AS26" s="12">
        <f t="shared" si="2"/>
        <v>10.75</v>
      </c>
      <c r="AT26" s="1">
        <v>8</v>
      </c>
      <c r="AU26" s="1"/>
      <c r="AV26" s="1"/>
      <c r="AW26" s="1">
        <v>6.1</v>
      </c>
      <c r="AX26" s="1"/>
      <c r="AY26" s="1"/>
      <c r="AZ26" s="1">
        <v>6.9</v>
      </c>
      <c r="BA26" s="1">
        <v>6.25</v>
      </c>
      <c r="BB26" s="1"/>
      <c r="BC26" s="1"/>
      <c r="BD26" s="1"/>
      <c r="BE26" s="1">
        <v>8</v>
      </c>
      <c r="BF26" s="1"/>
      <c r="BG26" s="1"/>
      <c r="BH26" s="1"/>
      <c r="BI26" s="1"/>
      <c r="BJ26" s="1"/>
      <c r="BK26" s="1"/>
      <c r="BL26" s="1">
        <f>AVERAGE(AT26:AU26)</f>
        <v>8</v>
      </c>
      <c r="BM26" s="1">
        <f t="shared" si="13"/>
        <v>6.8125</v>
      </c>
      <c r="BN26" s="12">
        <f t="shared" si="3"/>
        <v>7.05</v>
      </c>
      <c r="BO26" s="1"/>
      <c r="BP26" s="1"/>
      <c r="BQ26" s="1">
        <v>453.59199999999998</v>
      </c>
      <c r="BR26" s="1">
        <v>326</v>
      </c>
      <c r="BS26" s="1"/>
      <c r="BT26" s="1">
        <v>463.5</v>
      </c>
      <c r="BU26" s="1"/>
      <c r="BV26" s="1">
        <v>326</v>
      </c>
      <c r="BW26" s="1"/>
      <c r="BX26" s="1">
        <v>453.59199999999998</v>
      </c>
      <c r="BY26" s="1">
        <f t="shared" si="19"/>
        <v>394.75</v>
      </c>
      <c r="BZ26" s="1">
        <f t="shared" si="20"/>
        <v>0.39474999999999999</v>
      </c>
      <c r="CA26" s="1">
        <f t="shared" si="14"/>
        <v>414.36400000000003</v>
      </c>
      <c r="CB26" s="12">
        <f t="shared" si="15"/>
        <v>0.41436400000000001</v>
      </c>
      <c r="CC26" s="13">
        <f t="shared" si="16"/>
        <v>2.9212661999999998</v>
      </c>
      <c r="CD26" s="6"/>
      <c r="CE26" s="6"/>
      <c r="CF26" s="6"/>
      <c r="CG26" s="6"/>
      <c r="CH26" s="6"/>
      <c r="CI26" s="6"/>
      <c r="CJ26" s="13">
        <f t="shared" si="17"/>
        <v>9752.0334778117794</v>
      </c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</row>
    <row r="27" spans="1:160" x14ac:dyDescent="0.3">
      <c r="A27" s="6" t="s">
        <v>53</v>
      </c>
      <c r="B27" s="10" t="s">
        <v>53</v>
      </c>
      <c r="C27" s="10" t="s">
        <v>54</v>
      </c>
      <c r="D27" s="6" t="s">
        <v>54</v>
      </c>
      <c r="E27" s="7"/>
      <c r="F27" s="7"/>
      <c r="G27" s="7"/>
      <c r="H27" s="7"/>
      <c r="I27" s="1">
        <v>29.48348</v>
      </c>
      <c r="J27" s="1">
        <v>36.28736</v>
      </c>
      <c r="K27" s="1">
        <v>29.5</v>
      </c>
      <c r="L27" s="1">
        <v>36.5</v>
      </c>
      <c r="M27" s="1">
        <v>22.679600000000001</v>
      </c>
      <c r="N27" s="1">
        <v>29.48348</v>
      </c>
      <c r="O27" s="1">
        <v>25</v>
      </c>
      <c r="P27" s="1">
        <v>29.5</v>
      </c>
      <c r="Q27" s="12">
        <v>29.48348</v>
      </c>
      <c r="R27" s="1">
        <v>32.885420000000003</v>
      </c>
      <c r="S27" s="1">
        <v>26.08154</v>
      </c>
      <c r="T27" s="1">
        <v>30.125</v>
      </c>
      <c r="U27" s="1">
        <v>33</v>
      </c>
      <c r="V27" s="1">
        <v>27.25</v>
      </c>
      <c r="W27" s="1">
        <f>AVERAGE(X27:Y27)</f>
        <v>29.5</v>
      </c>
      <c r="X27" s="1">
        <v>29.5</v>
      </c>
      <c r="Y27" s="1"/>
      <c r="Z27" s="1"/>
      <c r="AA27" s="1">
        <v>29</v>
      </c>
      <c r="AB27" s="1"/>
      <c r="AC27" s="1"/>
      <c r="AD27" s="1">
        <v>28.12</v>
      </c>
      <c r="AE27" s="1">
        <f t="shared" si="9"/>
        <v>29.80424</v>
      </c>
      <c r="AF27" s="1">
        <f t="shared" si="18"/>
        <v>28.873333333333335</v>
      </c>
      <c r="AG27" s="1">
        <f t="shared" si="1"/>
        <v>29.338786666666667</v>
      </c>
      <c r="AH27" s="1">
        <v>10</v>
      </c>
      <c r="AI27" s="1">
        <v>12</v>
      </c>
      <c r="AJ27" s="1">
        <v>11</v>
      </c>
      <c r="AK27" s="1">
        <v>13</v>
      </c>
      <c r="AL27" s="1">
        <v>11</v>
      </c>
      <c r="AM27" s="1">
        <v>12</v>
      </c>
      <c r="AN27" s="1"/>
      <c r="AO27" s="1">
        <v>10</v>
      </c>
      <c r="AP27" s="1">
        <v>10.4</v>
      </c>
      <c r="AQ27" s="1">
        <f t="shared" si="10"/>
        <v>11.5</v>
      </c>
      <c r="AR27" s="1">
        <f>AVERAGE(AN27:AP27)</f>
        <v>10.199999999999999</v>
      </c>
      <c r="AS27" s="12">
        <f t="shared" si="2"/>
        <v>10.633333333333333</v>
      </c>
      <c r="AT27" s="1"/>
      <c r="AU27" s="1"/>
      <c r="AV27" s="1"/>
      <c r="AW27" s="1">
        <v>6.8</v>
      </c>
      <c r="AX27" s="1"/>
      <c r="AY27" s="1"/>
      <c r="AZ27" s="1">
        <v>6.6</v>
      </c>
      <c r="BA27" s="1">
        <v>6.47</v>
      </c>
      <c r="BB27" s="1"/>
      <c r="BC27" s="1"/>
      <c r="BD27" s="1"/>
      <c r="BE27" s="1">
        <v>8</v>
      </c>
      <c r="BF27" s="1">
        <v>8</v>
      </c>
      <c r="BG27" s="1">
        <v>5.3</v>
      </c>
      <c r="BH27" s="1"/>
      <c r="BI27" s="1">
        <f>BO27+BP27</f>
        <v>4.9000000000000004</v>
      </c>
      <c r="BJ27" s="1"/>
      <c r="BK27" s="1"/>
      <c r="BL27" s="1"/>
      <c r="BM27" s="1">
        <f t="shared" si="13"/>
        <v>6.5814285714285701</v>
      </c>
      <c r="BN27" s="12">
        <f t="shared" si="3"/>
        <v>6.5814285714285701</v>
      </c>
      <c r="BO27" s="1">
        <v>2.4900000000000002</v>
      </c>
      <c r="BP27" s="1">
        <v>2.41</v>
      </c>
      <c r="BQ27" s="1"/>
      <c r="BR27" s="1">
        <v>482</v>
      </c>
      <c r="BS27" s="1"/>
      <c r="BT27" s="1">
        <v>449.5</v>
      </c>
      <c r="BU27" s="1"/>
      <c r="BV27" s="1">
        <v>482</v>
      </c>
      <c r="BW27" s="1"/>
      <c r="BX27" s="1"/>
      <c r="BY27" s="1">
        <f t="shared" si="19"/>
        <v>465.75</v>
      </c>
      <c r="BZ27" s="1">
        <f t="shared" si="20"/>
        <v>0.46575</v>
      </c>
      <c r="CA27" s="1">
        <f t="shared" si="14"/>
        <v>465.75</v>
      </c>
      <c r="CB27" s="12">
        <f t="shared" si="15"/>
        <v>0.46575</v>
      </c>
      <c r="CC27" s="13">
        <f t="shared" si="16"/>
        <v>3.0653003571428563</v>
      </c>
      <c r="CD27" s="6"/>
      <c r="CE27" s="6"/>
      <c r="CF27" s="6"/>
      <c r="CG27" s="6"/>
      <c r="CH27" s="6"/>
      <c r="CI27" s="6"/>
      <c r="CJ27" s="13">
        <f t="shared" si="17"/>
        <v>6230.323134728932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</row>
    <row r="28" spans="1:160" x14ac:dyDescent="0.3">
      <c r="A28" s="6" t="s">
        <v>55</v>
      </c>
      <c r="B28" s="10" t="s">
        <v>55</v>
      </c>
      <c r="C28" s="10" t="s">
        <v>56</v>
      </c>
      <c r="D28" s="6" t="s">
        <v>57</v>
      </c>
      <c r="E28" s="7">
        <v>22.679600000000001</v>
      </c>
      <c r="F28" s="7">
        <v>31.751439999999999</v>
      </c>
      <c r="G28" s="7"/>
      <c r="H28" s="7"/>
      <c r="I28" s="1"/>
      <c r="J28" s="1"/>
      <c r="K28" s="1"/>
      <c r="L28" s="1"/>
      <c r="M28" s="1"/>
      <c r="N28" s="1"/>
      <c r="O28" s="1"/>
      <c r="P28" s="1"/>
      <c r="Q28" s="12">
        <v>27.215520000000001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f t="shared" si="9"/>
        <v>27.215519999999998</v>
      </c>
      <c r="AF28" s="1"/>
      <c r="AG28" s="1">
        <f t="shared" si="1"/>
        <v>27.215519999999998</v>
      </c>
      <c r="AH28" s="1">
        <v>12</v>
      </c>
      <c r="AI28" s="1">
        <v>13</v>
      </c>
      <c r="AJ28" s="1"/>
      <c r="AK28" s="1"/>
      <c r="AL28" s="1">
        <v>12.5</v>
      </c>
      <c r="AM28" s="1"/>
      <c r="AN28" s="1"/>
      <c r="AO28" s="1"/>
      <c r="AP28" s="1"/>
      <c r="AQ28" s="1">
        <f t="shared" si="10"/>
        <v>12.5</v>
      </c>
      <c r="AR28" s="1"/>
      <c r="AS28" s="12">
        <f t="shared" si="2"/>
        <v>12.5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>
        <v>6</v>
      </c>
      <c r="BK28" s="1">
        <v>5.5</v>
      </c>
      <c r="BL28" s="1"/>
      <c r="BM28" s="1"/>
      <c r="BN28" s="12">
        <f t="shared" si="3"/>
        <v>5.75</v>
      </c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2"/>
      <c r="CC28" s="13"/>
      <c r="CD28" s="6"/>
      <c r="CE28" s="6"/>
      <c r="CF28" s="6"/>
      <c r="CG28" s="6"/>
      <c r="CH28" s="6"/>
      <c r="CI28" s="6"/>
      <c r="CJ28" s="13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</row>
    <row r="29" spans="1:160" x14ac:dyDescent="0.3">
      <c r="A29" s="6" t="s">
        <v>58</v>
      </c>
      <c r="B29" s="10" t="s">
        <v>58</v>
      </c>
      <c r="C29" s="10" t="s">
        <v>59</v>
      </c>
      <c r="D29" s="6" t="s">
        <v>60</v>
      </c>
      <c r="E29" s="7">
        <v>24.947559999999999</v>
      </c>
      <c r="F29" s="7">
        <v>45.359200000000001</v>
      </c>
      <c r="G29" s="7"/>
      <c r="H29" s="7"/>
      <c r="I29" s="1"/>
      <c r="J29" s="1"/>
      <c r="K29" s="1">
        <v>27.5</v>
      </c>
      <c r="L29" s="1">
        <v>45.5</v>
      </c>
      <c r="M29" s="1"/>
      <c r="N29" s="1"/>
      <c r="O29" s="1">
        <v>22.5</v>
      </c>
      <c r="P29" s="1">
        <v>36.5</v>
      </c>
      <c r="Q29" s="12">
        <v>35.153379999999999</v>
      </c>
      <c r="R29" s="1"/>
      <c r="S29" s="1"/>
      <c r="T29" s="1">
        <v>33</v>
      </c>
      <c r="U29" s="1">
        <v>36.5</v>
      </c>
      <c r="V29" s="1">
        <v>29.5</v>
      </c>
      <c r="W29" s="1">
        <f>AVERAGE(X29:Y29)</f>
        <v>34.049999999999997</v>
      </c>
      <c r="X29" s="1">
        <v>34.049999999999997</v>
      </c>
      <c r="Y29" s="1">
        <v>34.049999999999997</v>
      </c>
      <c r="Z29" s="1"/>
      <c r="AA29" s="1"/>
      <c r="AB29" s="1"/>
      <c r="AC29" s="1"/>
      <c r="AD29" s="1"/>
      <c r="AE29" s="1">
        <f t="shared" si="9"/>
        <v>33.717793333333333</v>
      </c>
      <c r="AF29" s="1">
        <f>AVERAGE(X29:AD29)</f>
        <v>34.049999999999997</v>
      </c>
      <c r="AG29" s="1">
        <f t="shared" si="1"/>
        <v>33.883896666666665</v>
      </c>
      <c r="AH29" s="1">
        <v>12</v>
      </c>
      <c r="AI29" s="1">
        <v>12</v>
      </c>
      <c r="AJ29" s="1">
        <v>10</v>
      </c>
      <c r="AK29" s="1">
        <v>12</v>
      </c>
      <c r="AL29" s="1">
        <v>12</v>
      </c>
      <c r="AM29" s="1">
        <v>11</v>
      </c>
      <c r="AN29" s="1"/>
      <c r="AO29" s="1"/>
      <c r="AP29" s="1"/>
      <c r="AQ29" s="1">
        <f t="shared" si="10"/>
        <v>11.5</v>
      </c>
      <c r="AR29" s="1"/>
      <c r="AS29" s="12">
        <f t="shared" si="2"/>
        <v>11.5</v>
      </c>
      <c r="AT29" s="1"/>
      <c r="AU29" s="1"/>
      <c r="AV29" s="1"/>
      <c r="AW29" s="1"/>
      <c r="AX29" s="1"/>
      <c r="AY29" s="1"/>
      <c r="AZ29" s="1">
        <v>7.3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>
        <f t="shared" ref="BM29:BM38" si="21">AVERAGE(AV29:BI29)</f>
        <v>7.3</v>
      </c>
      <c r="BN29" s="12">
        <f t="shared" si="3"/>
        <v>7.3</v>
      </c>
      <c r="BO29" s="1"/>
      <c r="BP29" s="1"/>
      <c r="BQ29" s="1"/>
      <c r="BR29" s="1">
        <v>368.5</v>
      </c>
      <c r="BS29" s="1"/>
      <c r="BT29" s="1"/>
      <c r="BU29" s="1"/>
      <c r="BV29" s="1">
        <v>348</v>
      </c>
      <c r="BW29" s="1">
        <v>389</v>
      </c>
      <c r="BX29" s="1"/>
      <c r="BY29" s="1">
        <f>AVERAGE(BR29:BU29)</f>
        <v>368.5</v>
      </c>
      <c r="BZ29" s="1">
        <f>BY29/1000</f>
        <v>0.36849999999999999</v>
      </c>
      <c r="CA29" s="1">
        <f>AVERAGE(BQ29:BU29)</f>
        <v>368.5</v>
      </c>
      <c r="CB29" s="12">
        <f>CA29/1000</f>
        <v>0.36849999999999999</v>
      </c>
      <c r="CC29" s="13">
        <f>CB29*BN29</f>
        <v>2.6900499999999998</v>
      </c>
      <c r="CD29" s="6"/>
      <c r="CE29" s="6"/>
      <c r="CF29" s="6"/>
      <c r="CG29" s="6"/>
      <c r="CH29" s="6"/>
      <c r="CI29" s="6"/>
      <c r="CJ29" s="13">
        <f>((Q29-CB29)/CB29)*100</f>
        <v>9439.5875169606516</v>
      </c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</row>
    <row r="30" spans="1:160" x14ac:dyDescent="0.3">
      <c r="A30" s="6" t="s">
        <v>61</v>
      </c>
      <c r="B30" s="10" t="s">
        <v>61</v>
      </c>
      <c r="C30" s="10" t="s">
        <v>62</v>
      </c>
      <c r="D30" s="6" t="s">
        <v>62</v>
      </c>
      <c r="E30" s="7">
        <v>13.607760000000001</v>
      </c>
      <c r="F30" s="7">
        <v>18.14368</v>
      </c>
      <c r="G30" s="7">
        <v>13</v>
      </c>
      <c r="H30" s="7">
        <v>18</v>
      </c>
      <c r="I30" s="1"/>
      <c r="J30" s="1"/>
      <c r="K30" s="1"/>
      <c r="L30" s="1"/>
      <c r="M30" s="1"/>
      <c r="N30" s="1"/>
      <c r="O30" s="1"/>
      <c r="P30" s="1"/>
      <c r="Q30" s="12">
        <v>15.875719999999999</v>
      </c>
      <c r="R30" s="1"/>
      <c r="S30" s="1"/>
      <c r="T30" s="1">
        <v>15.5</v>
      </c>
      <c r="U30" s="1"/>
      <c r="V30" s="1"/>
      <c r="W30" s="1">
        <f>AVERAGE(X30:Y30)</f>
        <v>17</v>
      </c>
      <c r="X30" s="1">
        <v>17</v>
      </c>
      <c r="Y30" s="1"/>
      <c r="Z30" s="1"/>
      <c r="AA30" s="1">
        <v>17</v>
      </c>
      <c r="AB30" s="1">
        <v>18.71</v>
      </c>
      <c r="AC30" s="1"/>
      <c r="AD30" s="1">
        <v>15.88</v>
      </c>
      <c r="AE30" s="1">
        <f t="shared" si="9"/>
        <v>15.687860000000001</v>
      </c>
      <c r="AF30" s="1">
        <f>AVERAGE(X30:AD30)</f>
        <v>17.147500000000001</v>
      </c>
      <c r="AG30" s="1">
        <f t="shared" si="1"/>
        <v>16.417680000000001</v>
      </c>
      <c r="AH30" s="1">
        <v>12</v>
      </c>
      <c r="AI30" s="1">
        <v>14</v>
      </c>
      <c r="AJ30" s="1">
        <v>13</v>
      </c>
      <c r="AK30" s="1">
        <v>14</v>
      </c>
      <c r="AL30" s="1">
        <v>13</v>
      </c>
      <c r="AM30" s="1">
        <v>13.5</v>
      </c>
      <c r="AN30" s="1">
        <v>12.58</v>
      </c>
      <c r="AO30" s="1"/>
      <c r="AP30" s="1"/>
      <c r="AQ30" s="1">
        <f t="shared" si="10"/>
        <v>13.25</v>
      </c>
      <c r="AR30" s="1">
        <f>AVERAGE(AN30:AP30)</f>
        <v>12.58</v>
      </c>
      <c r="AS30" s="12">
        <f t="shared" si="2"/>
        <v>12.914999999999999</v>
      </c>
      <c r="AT30" s="1"/>
      <c r="AU30" s="1"/>
      <c r="AV30" s="1">
        <v>5.32</v>
      </c>
      <c r="AW30" s="1"/>
      <c r="AX30" s="1"/>
      <c r="AY30" s="1">
        <v>6.5</v>
      </c>
      <c r="AZ30" s="1">
        <v>6.4</v>
      </c>
      <c r="BA30" s="1"/>
      <c r="BB30" s="1"/>
      <c r="BC30" s="1"/>
      <c r="BD30" s="1"/>
      <c r="BE30" s="1">
        <v>7</v>
      </c>
      <c r="BF30" s="1"/>
      <c r="BG30" s="1"/>
      <c r="BH30" s="1"/>
      <c r="BI30" s="1"/>
      <c r="BJ30" s="1"/>
      <c r="BK30" s="1"/>
      <c r="BL30" s="1"/>
      <c r="BM30" s="1">
        <f t="shared" si="21"/>
        <v>6.3049999999999997</v>
      </c>
      <c r="BN30" s="12">
        <f t="shared" si="3"/>
        <v>6.3049999999999997</v>
      </c>
      <c r="BO30" s="1"/>
      <c r="BP30" s="1"/>
      <c r="BQ30" s="1"/>
      <c r="BR30" s="1">
        <v>283</v>
      </c>
      <c r="BS30" s="1"/>
      <c r="BT30" s="1">
        <v>255</v>
      </c>
      <c r="BU30" s="1"/>
      <c r="BV30" s="1">
        <v>283</v>
      </c>
      <c r="BW30" s="1"/>
      <c r="BX30" s="1"/>
      <c r="BY30" s="1">
        <f>AVERAGE(BR30:BU30)</f>
        <v>269</v>
      </c>
      <c r="BZ30" s="1">
        <f>BY30/1000</f>
        <v>0.26900000000000002</v>
      </c>
      <c r="CA30" s="1">
        <f>AVERAGE(BQ30:BU30)</f>
        <v>269</v>
      </c>
      <c r="CB30" s="12">
        <f>CA30/1000</f>
        <v>0.26900000000000002</v>
      </c>
      <c r="CC30" s="13">
        <f>CB30*BN30</f>
        <v>1.696045</v>
      </c>
      <c r="CD30" s="6"/>
      <c r="CE30" s="6"/>
      <c r="CF30" s="6"/>
      <c r="CG30" s="6"/>
      <c r="CH30" s="6"/>
      <c r="CI30" s="6"/>
      <c r="CJ30" s="13">
        <f>((Q30-CB30)/CB30)*100</f>
        <v>5801.7546468401488</v>
      </c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</row>
    <row r="31" spans="1:160" x14ac:dyDescent="0.3">
      <c r="A31" s="6" t="s">
        <v>63</v>
      </c>
      <c r="B31" s="10" t="s">
        <v>63</v>
      </c>
      <c r="C31" s="10" t="s">
        <v>64</v>
      </c>
      <c r="D31" s="6" t="s">
        <v>64</v>
      </c>
      <c r="E31" s="7">
        <v>36.28736</v>
      </c>
      <c r="F31" s="7">
        <v>58.96696</v>
      </c>
      <c r="G31" s="7">
        <v>32</v>
      </c>
      <c r="H31" s="7">
        <v>54</v>
      </c>
      <c r="I31" s="1"/>
      <c r="J31" s="1"/>
      <c r="K31" s="1"/>
      <c r="L31" s="1"/>
      <c r="M31" s="1"/>
      <c r="N31" s="1"/>
      <c r="O31" s="1"/>
      <c r="P31" s="1"/>
      <c r="Q31" s="12">
        <v>47.627160000000003</v>
      </c>
      <c r="R31" s="1"/>
      <c r="S31" s="1"/>
      <c r="T31" s="1">
        <v>43</v>
      </c>
      <c r="U31" s="1"/>
      <c r="V31" s="1"/>
      <c r="W31" s="1">
        <f>AVERAGE(X31:Y31)</f>
        <v>51.25</v>
      </c>
      <c r="X31" s="1">
        <v>55</v>
      </c>
      <c r="Y31" s="1">
        <v>47.5</v>
      </c>
      <c r="Z31" s="1"/>
      <c r="AA31" s="1"/>
      <c r="AB31" s="1"/>
      <c r="AC31" s="1"/>
      <c r="AD31" s="1"/>
      <c r="AE31" s="1">
        <f t="shared" si="9"/>
        <v>45.313580000000002</v>
      </c>
      <c r="AF31" s="1">
        <f>AVERAGE(X31:AD31)</f>
        <v>51.25</v>
      </c>
      <c r="AG31" s="1">
        <f t="shared" si="1"/>
        <v>48.281790000000001</v>
      </c>
      <c r="AH31" s="1">
        <v>10</v>
      </c>
      <c r="AI31" s="1">
        <v>12</v>
      </c>
      <c r="AJ31" s="1">
        <v>10</v>
      </c>
      <c r="AK31" s="1">
        <v>14</v>
      </c>
      <c r="AL31" s="1">
        <v>11</v>
      </c>
      <c r="AM31" s="1">
        <v>12</v>
      </c>
      <c r="AN31" s="1"/>
      <c r="AO31" s="1"/>
      <c r="AP31" s="1"/>
      <c r="AQ31" s="1">
        <f t="shared" si="10"/>
        <v>11.5</v>
      </c>
      <c r="AR31" s="1"/>
      <c r="AS31" s="12">
        <f t="shared" si="2"/>
        <v>11.5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>
        <v>8</v>
      </c>
      <c r="BF31" s="1"/>
      <c r="BG31" s="1"/>
      <c r="BH31" s="1"/>
      <c r="BI31" s="1"/>
      <c r="BJ31" s="1"/>
      <c r="BK31" s="1"/>
      <c r="BL31" s="1"/>
      <c r="BM31" s="1">
        <f t="shared" si="21"/>
        <v>8</v>
      </c>
      <c r="BN31" s="12">
        <f t="shared" si="3"/>
        <v>8</v>
      </c>
      <c r="BO31" s="1"/>
      <c r="BP31" s="1"/>
      <c r="BQ31" s="1"/>
      <c r="BR31" s="1">
        <v>623</v>
      </c>
      <c r="BS31" s="1"/>
      <c r="BT31" s="1">
        <v>475</v>
      </c>
      <c r="BU31" s="1"/>
      <c r="BV31" s="1">
        <v>667</v>
      </c>
      <c r="BW31" s="1">
        <v>579</v>
      </c>
      <c r="BX31" s="1"/>
      <c r="BY31" s="1">
        <f>AVERAGE(BR31:BU31)</f>
        <v>549</v>
      </c>
      <c r="BZ31" s="1">
        <f>BY31/1000</f>
        <v>0.54900000000000004</v>
      </c>
      <c r="CA31" s="1">
        <f>AVERAGE(BQ31:BU31)</f>
        <v>549</v>
      </c>
      <c r="CB31" s="12">
        <f>CA31/1000</f>
        <v>0.54900000000000004</v>
      </c>
      <c r="CC31" s="13">
        <f>CB31*BN31</f>
        <v>4.3920000000000003</v>
      </c>
      <c r="CD31" s="6"/>
      <c r="CE31" s="6"/>
      <c r="CF31" s="6"/>
      <c r="CG31" s="6"/>
      <c r="CH31" s="6"/>
      <c r="CI31" s="6"/>
      <c r="CJ31" s="13">
        <f>((Q31-CB31)/CB31)*100</f>
        <v>8575.2568306010926</v>
      </c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</row>
    <row r="32" spans="1:160" x14ac:dyDescent="0.3">
      <c r="A32" s="6" t="s">
        <v>65</v>
      </c>
      <c r="B32" s="10" t="s">
        <v>65</v>
      </c>
      <c r="C32" s="10" t="s">
        <v>66</v>
      </c>
      <c r="D32" s="6" t="s">
        <v>66</v>
      </c>
      <c r="E32" s="7">
        <v>3.628736</v>
      </c>
      <c r="F32" s="7">
        <v>4.53592</v>
      </c>
      <c r="G32" s="7">
        <v>3.5</v>
      </c>
      <c r="H32" s="7">
        <v>4.5</v>
      </c>
      <c r="I32" s="1"/>
      <c r="J32" s="1"/>
      <c r="K32" s="1"/>
      <c r="L32" s="1"/>
      <c r="M32" s="1"/>
      <c r="N32" s="1"/>
      <c r="O32" s="1"/>
      <c r="P32" s="1"/>
      <c r="Q32" s="12">
        <v>4.0823280000000004</v>
      </c>
      <c r="R32" s="1"/>
      <c r="S32" s="1"/>
      <c r="T32" s="1">
        <v>4</v>
      </c>
      <c r="U32" s="1"/>
      <c r="V32" s="1"/>
      <c r="W32" s="1">
        <f>AVERAGE(X32:Y32)</f>
        <v>4.08</v>
      </c>
      <c r="X32" s="1">
        <v>4.08</v>
      </c>
      <c r="Y32" s="1"/>
      <c r="Z32" s="1"/>
      <c r="AA32" s="1"/>
      <c r="AB32" s="1"/>
      <c r="AC32" s="1"/>
      <c r="AD32" s="1"/>
      <c r="AE32" s="1">
        <f t="shared" si="9"/>
        <v>4.0411640000000002</v>
      </c>
      <c r="AF32" s="1">
        <f>AVERAGE(X32:AD32)</f>
        <v>4.08</v>
      </c>
      <c r="AG32" s="1">
        <f t="shared" si="1"/>
        <v>4.0605820000000001</v>
      </c>
      <c r="AH32" s="1">
        <v>12</v>
      </c>
      <c r="AI32" s="1">
        <v>15</v>
      </c>
      <c r="AJ32" s="1">
        <v>13</v>
      </c>
      <c r="AK32" s="1">
        <v>14</v>
      </c>
      <c r="AL32" s="1">
        <v>13.5</v>
      </c>
      <c r="AM32" s="1">
        <v>13.5</v>
      </c>
      <c r="AN32" s="1"/>
      <c r="AO32" s="1"/>
      <c r="AP32" s="1"/>
      <c r="AQ32" s="1">
        <f t="shared" si="10"/>
        <v>13.5</v>
      </c>
      <c r="AR32" s="1"/>
      <c r="AS32" s="12">
        <f t="shared" si="2"/>
        <v>13.5</v>
      </c>
      <c r="AT32" s="1"/>
      <c r="AU32" s="1"/>
      <c r="AV32" s="1"/>
      <c r="AW32" s="1"/>
      <c r="AX32" s="1"/>
      <c r="AY32" s="1"/>
      <c r="AZ32" s="1">
        <v>4</v>
      </c>
      <c r="BA32" s="1"/>
      <c r="BB32" s="1"/>
      <c r="BC32" s="1"/>
      <c r="BD32" s="1"/>
      <c r="BE32" s="1">
        <v>7</v>
      </c>
      <c r="BF32" s="1"/>
      <c r="BG32" s="1"/>
      <c r="BH32" s="1"/>
      <c r="BI32" s="1"/>
      <c r="BJ32" s="1"/>
      <c r="BK32" s="1"/>
      <c r="BL32" s="1"/>
      <c r="BM32" s="1">
        <f t="shared" si="21"/>
        <v>5.5</v>
      </c>
      <c r="BN32" s="12">
        <f t="shared" si="3"/>
        <v>5.5</v>
      </c>
      <c r="BO32" s="1"/>
      <c r="BP32" s="1"/>
      <c r="BQ32" s="1">
        <v>198.44649999999999</v>
      </c>
      <c r="BR32" s="1">
        <v>170</v>
      </c>
      <c r="BS32" s="1"/>
      <c r="BT32" s="1">
        <v>120</v>
      </c>
      <c r="BU32" s="1"/>
      <c r="BV32" s="1">
        <v>170</v>
      </c>
      <c r="BW32" s="1"/>
      <c r="BX32" s="1">
        <v>198.44649999999999</v>
      </c>
      <c r="BY32" s="1">
        <f>AVERAGE(BR32:BU32)</f>
        <v>145</v>
      </c>
      <c r="BZ32" s="1">
        <f>BY32/1000</f>
        <v>0.14499999999999999</v>
      </c>
      <c r="CA32" s="1">
        <f>AVERAGE(BQ32:BU32)</f>
        <v>162.81550000000001</v>
      </c>
      <c r="CB32" s="12">
        <f>CA32/1000</f>
        <v>0.1628155</v>
      </c>
      <c r="CC32" s="13">
        <f>CB32*BN32</f>
        <v>0.89548525000000001</v>
      </c>
      <c r="CD32" s="6"/>
      <c r="CE32" s="6"/>
      <c r="CF32" s="6"/>
      <c r="CG32" s="6"/>
      <c r="CH32" s="6"/>
      <c r="CI32" s="6"/>
      <c r="CJ32" s="13">
        <f>((Q32-CB32)/CB32)*100</f>
        <v>2407.3337612205228</v>
      </c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</row>
    <row r="33" spans="1:160" x14ac:dyDescent="0.3">
      <c r="A33" s="6" t="s">
        <v>67</v>
      </c>
      <c r="B33" s="10" t="s">
        <v>67</v>
      </c>
      <c r="C33" s="10" t="s">
        <v>68</v>
      </c>
      <c r="D33" s="6" t="s">
        <v>68</v>
      </c>
      <c r="E33" s="7"/>
      <c r="F33" s="7"/>
      <c r="G33" s="7"/>
      <c r="H33" s="7"/>
      <c r="I33" s="1"/>
      <c r="J33" s="1"/>
      <c r="K33" s="1">
        <v>11</v>
      </c>
      <c r="L33" s="1"/>
      <c r="M33" s="1"/>
      <c r="N33" s="1"/>
      <c r="O33" s="1">
        <v>10</v>
      </c>
      <c r="P33" s="1"/>
      <c r="Q33" s="12"/>
      <c r="R33" s="1"/>
      <c r="S33" s="1"/>
      <c r="T33" s="1">
        <v>10.5</v>
      </c>
      <c r="U33" s="1">
        <v>11</v>
      </c>
      <c r="V33" s="1">
        <v>10</v>
      </c>
      <c r="W33" s="1"/>
      <c r="X33" s="1"/>
      <c r="Y33" s="1"/>
      <c r="Z33" s="1"/>
      <c r="AA33" s="1"/>
      <c r="AB33" s="1"/>
      <c r="AC33" s="1"/>
      <c r="AD33" s="1"/>
      <c r="AE33" s="1">
        <f t="shared" si="9"/>
        <v>10.5</v>
      </c>
      <c r="AF33" s="1"/>
      <c r="AG33" s="1">
        <f t="shared" si="1"/>
        <v>10.5</v>
      </c>
      <c r="AH33" s="1">
        <v>13</v>
      </c>
      <c r="AI33" s="1">
        <v>14</v>
      </c>
      <c r="AJ33" s="1">
        <v>10</v>
      </c>
      <c r="AK33" s="1">
        <v>12</v>
      </c>
      <c r="AL33" s="1">
        <v>13.5</v>
      </c>
      <c r="AM33" s="1">
        <v>11</v>
      </c>
      <c r="AN33" s="1"/>
      <c r="AO33" s="1"/>
      <c r="AP33" s="1"/>
      <c r="AQ33" s="1">
        <f t="shared" si="10"/>
        <v>12.25</v>
      </c>
      <c r="AR33" s="1"/>
      <c r="AS33" s="12">
        <f t="shared" si="2"/>
        <v>12.25</v>
      </c>
      <c r="AT33" s="1"/>
      <c r="AU33" s="1"/>
      <c r="AV33" s="1"/>
      <c r="AW33" s="1"/>
      <c r="AX33" s="1"/>
      <c r="AY33" s="1"/>
      <c r="AZ33" s="1">
        <v>4.8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>
        <f t="shared" si="21"/>
        <v>4.8</v>
      </c>
      <c r="BN33" s="12">
        <f t="shared" si="3"/>
        <v>4.8</v>
      </c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2"/>
      <c r="CC33" s="13"/>
      <c r="CD33" s="6"/>
      <c r="CE33" s="6"/>
      <c r="CF33" s="6"/>
      <c r="CG33" s="6"/>
      <c r="CH33" s="6"/>
      <c r="CI33" s="6"/>
      <c r="CJ33" s="13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</row>
    <row r="34" spans="1:160" x14ac:dyDescent="0.3">
      <c r="A34" s="6" t="s">
        <v>69</v>
      </c>
      <c r="B34" s="10" t="s">
        <v>69</v>
      </c>
      <c r="C34" s="10" t="s">
        <v>70</v>
      </c>
      <c r="D34" s="6" t="s">
        <v>70</v>
      </c>
      <c r="E34" s="7"/>
      <c r="F34" s="7"/>
      <c r="G34" s="7"/>
      <c r="H34" s="7"/>
      <c r="I34" s="1"/>
      <c r="J34" s="1"/>
      <c r="K34" s="1">
        <v>22.5</v>
      </c>
      <c r="L34" s="1"/>
      <c r="M34" s="1"/>
      <c r="N34" s="1"/>
      <c r="O34" s="1">
        <v>18</v>
      </c>
      <c r="P34" s="1"/>
      <c r="Q34" s="12"/>
      <c r="R34" s="1"/>
      <c r="S34" s="1"/>
      <c r="T34" s="1">
        <v>20.25</v>
      </c>
      <c r="U34" s="1">
        <v>22.5</v>
      </c>
      <c r="V34" s="1">
        <v>18</v>
      </c>
      <c r="W34" s="1">
        <f t="shared" ref="W34:W41" si="22">AVERAGE(X34:Y34)</f>
        <v>24.5</v>
      </c>
      <c r="X34" s="1">
        <v>24.5</v>
      </c>
      <c r="Y34" s="1"/>
      <c r="Z34" s="1"/>
      <c r="AA34" s="1">
        <v>24</v>
      </c>
      <c r="AB34" s="1"/>
      <c r="AC34" s="1"/>
      <c r="AD34" s="1">
        <v>22.68</v>
      </c>
      <c r="AE34" s="1">
        <f t="shared" si="9"/>
        <v>20.25</v>
      </c>
      <c r="AF34" s="1">
        <f t="shared" ref="AF34:AF41" si="23">AVERAGE(X34:AD34)</f>
        <v>23.72666666666667</v>
      </c>
      <c r="AG34" s="1">
        <f t="shared" si="1"/>
        <v>21.988333333333337</v>
      </c>
      <c r="AH34" s="1">
        <v>8</v>
      </c>
      <c r="AI34" s="1">
        <v>10</v>
      </c>
      <c r="AJ34" s="1">
        <v>10</v>
      </c>
      <c r="AK34" s="1">
        <v>12</v>
      </c>
      <c r="AL34" s="1">
        <v>9</v>
      </c>
      <c r="AM34" s="1">
        <v>11</v>
      </c>
      <c r="AN34" s="1"/>
      <c r="AO34" s="1">
        <v>8.4</v>
      </c>
      <c r="AP34" s="1">
        <v>6.7</v>
      </c>
      <c r="AQ34" s="1">
        <f t="shared" si="10"/>
        <v>10</v>
      </c>
      <c r="AR34" s="1">
        <f>AVERAGE(AN34:AP34)</f>
        <v>7.5500000000000007</v>
      </c>
      <c r="AS34" s="12">
        <f t="shared" si="2"/>
        <v>8.3666666666666671</v>
      </c>
      <c r="AT34" s="1"/>
      <c r="AU34" s="1"/>
      <c r="AV34" s="1"/>
      <c r="AW34" s="1"/>
      <c r="AX34" s="1"/>
      <c r="AY34" s="1">
        <v>6</v>
      </c>
      <c r="AZ34" s="1">
        <v>5.4</v>
      </c>
      <c r="BA34" s="1"/>
      <c r="BB34" s="1"/>
      <c r="BC34" s="1"/>
      <c r="BD34" s="1"/>
      <c r="BE34" s="1">
        <v>3</v>
      </c>
      <c r="BF34" s="1"/>
      <c r="BG34" s="1"/>
      <c r="BH34" s="1"/>
      <c r="BI34" s="1"/>
      <c r="BJ34" s="1"/>
      <c r="BK34" s="1"/>
      <c r="BL34" s="1"/>
      <c r="BM34" s="1">
        <f t="shared" si="21"/>
        <v>4.8</v>
      </c>
      <c r="BN34" s="12">
        <f t="shared" si="3"/>
        <v>4.8</v>
      </c>
      <c r="BO34" s="1"/>
      <c r="BP34" s="1"/>
      <c r="BQ34" s="1"/>
      <c r="BR34" s="1">
        <v>340</v>
      </c>
      <c r="BS34" s="1"/>
      <c r="BT34" s="1">
        <v>316</v>
      </c>
      <c r="BU34" s="1"/>
      <c r="BV34" s="1">
        <v>340</v>
      </c>
      <c r="BW34" s="1"/>
      <c r="BX34" s="1"/>
      <c r="BY34" s="1">
        <f t="shared" ref="BY34:BY41" si="24">AVERAGE(BR34:BU34)</f>
        <v>328</v>
      </c>
      <c r="BZ34" s="1">
        <f t="shared" ref="BZ34:BZ41" si="25">BY34/1000</f>
        <v>0.32800000000000001</v>
      </c>
      <c r="CA34" s="1">
        <f t="shared" ref="CA34:CA56" si="26">AVERAGE(BQ34:BU34)</f>
        <v>328</v>
      </c>
      <c r="CB34" s="12">
        <f t="shared" ref="CB34:CB56" si="27">CA34/1000</f>
        <v>0.32800000000000001</v>
      </c>
      <c r="CC34" s="13">
        <f t="shared" ref="CC34:CC97" si="28">CB34*BN34</f>
        <v>1.5744</v>
      </c>
      <c r="CD34" s="6"/>
      <c r="CE34" s="6"/>
      <c r="CF34" s="6"/>
      <c r="CG34" s="6"/>
      <c r="CH34" s="6"/>
      <c r="CI34" s="6"/>
      <c r="CJ34" s="13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</row>
    <row r="35" spans="1:160" x14ac:dyDescent="0.3">
      <c r="A35" s="6" t="s">
        <v>71</v>
      </c>
      <c r="B35" s="10" t="s">
        <v>71</v>
      </c>
      <c r="C35" s="10" t="s">
        <v>72</v>
      </c>
      <c r="D35" s="6" t="s">
        <v>72</v>
      </c>
      <c r="E35" s="7"/>
      <c r="F35" s="7"/>
      <c r="G35" s="7"/>
      <c r="H35" s="7"/>
      <c r="I35" s="1">
        <v>49.895119999999999</v>
      </c>
      <c r="J35" s="1">
        <v>58.96696</v>
      </c>
      <c r="K35" s="1">
        <v>50</v>
      </c>
      <c r="L35" s="1">
        <v>59</v>
      </c>
      <c r="M35" s="1">
        <v>45.359200000000001</v>
      </c>
      <c r="N35" s="1">
        <v>54.431040000000003</v>
      </c>
      <c r="O35" s="1">
        <v>45.5</v>
      </c>
      <c r="P35" s="1">
        <v>54.5</v>
      </c>
      <c r="Q35" s="12">
        <v>52.163080000000001</v>
      </c>
      <c r="R35" s="1">
        <v>54.431040000000003</v>
      </c>
      <c r="S35" s="1">
        <v>49.895119999999999</v>
      </c>
      <c r="T35" s="1">
        <v>52.25</v>
      </c>
      <c r="U35" s="1">
        <v>54.5</v>
      </c>
      <c r="V35" s="1">
        <v>50</v>
      </c>
      <c r="W35" s="1">
        <f t="shared" si="22"/>
        <v>55</v>
      </c>
      <c r="X35" s="1">
        <v>55</v>
      </c>
      <c r="Y35" s="1"/>
      <c r="Z35" s="1"/>
      <c r="AA35" s="1">
        <v>54</v>
      </c>
      <c r="AB35" s="1"/>
      <c r="AC35" s="1"/>
      <c r="AD35" s="1"/>
      <c r="AE35" s="1">
        <f t="shared" si="9"/>
        <v>52.206539999999997</v>
      </c>
      <c r="AF35" s="1">
        <f t="shared" si="23"/>
        <v>54.5</v>
      </c>
      <c r="AG35" s="1">
        <f t="shared" si="1"/>
        <v>53.353269999999995</v>
      </c>
      <c r="AH35" s="1">
        <v>7</v>
      </c>
      <c r="AI35" s="1">
        <v>9</v>
      </c>
      <c r="AJ35" s="1">
        <v>9</v>
      </c>
      <c r="AK35" s="1">
        <v>10</v>
      </c>
      <c r="AL35" s="1">
        <v>8</v>
      </c>
      <c r="AM35" s="1">
        <v>9.5</v>
      </c>
      <c r="AN35" s="1"/>
      <c r="AO35" s="1"/>
      <c r="AP35" s="1">
        <v>8.6</v>
      </c>
      <c r="AQ35" s="1">
        <f t="shared" si="10"/>
        <v>8.75</v>
      </c>
      <c r="AR35" s="1">
        <f>AVERAGE(AN35:AP35)</f>
        <v>8.6</v>
      </c>
      <c r="AS35" s="12">
        <f t="shared" si="2"/>
        <v>8.6750000000000007</v>
      </c>
      <c r="AT35" s="1"/>
      <c r="AU35" s="1"/>
      <c r="AV35" s="1"/>
      <c r="AW35" s="1"/>
      <c r="AX35" s="1"/>
      <c r="AY35" s="1">
        <v>10</v>
      </c>
      <c r="AZ35" s="1">
        <v>6.9</v>
      </c>
      <c r="BA35" s="1"/>
      <c r="BB35" s="1"/>
      <c r="BC35" s="1"/>
      <c r="BD35" s="1"/>
      <c r="BE35" s="1">
        <v>7</v>
      </c>
      <c r="BF35" s="1"/>
      <c r="BG35" s="1">
        <v>6.7</v>
      </c>
      <c r="BH35" s="1"/>
      <c r="BI35" s="1"/>
      <c r="BJ35" s="1"/>
      <c r="BK35" s="1"/>
      <c r="BL35" s="1"/>
      <c r="BM35" s="1">
        <f t="shared" si="21"/>
        <v>7.6499999999999995</v>
      </c>
      <c r="BN35" s="12">
        <f t="shared" si="3"/>
        <v>7.6499999999999995</v>
      </c>
      <c r="BO35" s="1"/>
      <c r="BP35" s="1"/>
      <c r="BQ35" s="1"/>
      <c r="BR35" s="1">
        <v>635</v>
      </c>
      <c r="BS35" s="1"/>
      <c r="BT35" s="1">
        <v>597.5</v>
      </c>
      <c r="BU35" s="1"/>
      <c r="BV35" s="1">
        <v>635</v>
      </c>
      <c r="BW35" s="1"/>
      <c r="BX35" s="1"/>
      <c r="BY35" s="1">
        <f t="shared" si="24"/>
        <v>616.25</v>
      </c>
      <c r="BZ35" s="1">
        <f t="shared" si="25"/>
        <v>0.61624999999999996</v>
      </c>
      <c r="CA35" s="1">
        <f t="shared" si="26"/>
        <v>616.25</v>
      </c>
      <c r="CB35" s="12">
        <f t="shared" si="27"/>
        <v>0.61624999999999996</v>
      </c>
      <c r="CC35" s="13">
        <f t="shared" si="28"/>
        <v>4.7143124999999992</v>
      </c>
      <c r="CD35" s="6"/>
      <c r="CE35" s="6"/>
      <c r="CF35" s="6"/>
      <c r="CG35" s="6"/>
      <c r="CH35" s="6"/>
      <c r="CI35" s="6"/>
      <c r="CJ35" s="13">
        <f>((Q35-CB35)/CB35)*100</f>
        <v>8364.5971602434092</v>
      </c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</row>
    <row r="36" spans="1:160" x14ac:dyDescent="0.3">
      <c r="A36" s="6" t="s">
        <v>73</v>
      </c>
      <c r="B36" s="10" t="s">
        <v>73</v>
      </c>
      <c r="C36" s="10" t="s">
        <v>74</v>
      </c>
      <c r="D36" s="6" t="s">
        <v>74</v>
      </c>
      <c r="E36" s="7">
        <v>22.679600000000001</v>
      </c>
      <c r="F36" s="7">
        <v>31.751439999999999</v>
      </c>
      <c r="G36" s="7">
        <v>24</v>
      </c>
      <c r="H36" s="7">
        <v>28</v>
      </c>
      <c r="I36" s="1"/>
      <c r="J36" s="1"/>
      <c r="K36" s="1"/>
      <c r="L36" s="1"/>
      <c r="M36" s="1"/>
      <c r="N36" s="1"/>
      <c r="O36" s="1"/>
      <c r="P36" s="1"/>
      <c r="Q36" s="12">
        <v>27.215520000000001</v>
      </c>
      <c r="R36" s="1"/>
      <c r="S36" s="1"/>
      <c r="T36" s="1">
        <v>26</v>
      </c>
      <c r="U36" s="1"/>
      <c r="V36" s="1"/>
      <c r="W36" s="1">
        <f t="shared" si="22"/>
        <v>27.69</v>
      </c>
      <c r="X36" s="1">
        <v>27.69</v>
      </c>
      <c r="Y36" s="1"/>
      <c r="Z36" s="1"/>
      <c r="AA36" s="1">
        <v>29</v>
      </c>
      <c r="AB36" s="1"/>
      <c r="AC36" s="1"/>
      <c r="AD36" s="1"/>
      <c r="AE36" s="1">
        <f t="shared" si="9"/>
        <v>26.607759999999999</v>
      </c>
      <c r="AF36" s="1">
        <f t="shared" si="23"/>
        <v>28.344999999999999</v>
      </c>
      <c r="AG36" s="1">
        <f t="shared" ref="AG36:AG65" si="29">AVERAGE(AE36:AF36)</f>
        <v>27.476379999999999</v>
      </c>
      <c r="AH36" s="1">
        <v>12</v>
      </c>
      <c r="AI36" s="1">
        <v>13</v>
      </c>
      <c r="AJ36" s="1">
        <v>11</v>
      </c>
      <c r="AK36" s="1">
        <v>13</v>
      </c>
      <c r="AL36" s="1">
        <v>12.5</v>
      </c>
      <c r="AM36" s="1">
        <v>12</v>
      </c>
      <c r="AN36" s="1"/>
      <c r="AO36" s="1">
        <v>11.2</v>
      </c>
      <c r="AP36" s="1">
        <v>12.9</v>
      </c>
      <c r="AQ36" s="1">
        <f t="shared" si="10"/>
        <v>12.25</v>
      </c>
      <c r="AR36" s="1">
        <f>AVERAGE(AN36:AP36)</f>
        <v>12.05</v>
      </c>
      <c r="AS36" s="12">
        <f t="shared" ref="AS36:AS65" si="30">AVERAGE(AN36:AQ36)</f>
        <v>12.116666666666667</v>
      </c>
      <c r="AT36" s="1"/>
      <c r="AU36" s="1"/>
      <c r="AV36" s="1"/>
      <c r="AW36" s="1"/>
      <c r="AX36" s="1"/>
      <c r="AY36" s="1"/>
      <c r="AZ36" s="1">
        <v>5.5</v>
      </c>
      <c r="BA36" s="1"/>
      <c r="BB36" s="1"/>
      <c r="BC36" s="1"/>
      <c r="BD36" s="1"/>
      <c r="BE36" s="1">
        <v>7</v>
      </c>
      <c r="BF36" s="1"/>
      <c r="BG36" s="1"/>
      <c r="BH36" s="1"/>
      <c r="BI36" s="1"/>
      <c r="BJ36" s="1"/>
      <c r="BK36" s="1"/>
      <c r="BL36" s="1"/>
      <c r="BM36" s="1">
        <f t="shared" si="21"/>
        <v>6.25</v>
      </c>
      <c r="BN36" s="12">
        <f t="shared" si="3"/>
        <v>6.25</v>
      </c>
      <c r="BO36" s="1"/>
      <c r="BP36" s="1"/>
      <c r="BQ36" s="1"/>
      <c r="BR36" s="1">
        <v>283</v>
      </c>
      <c r="BS36" s="1"/>
      <c r="BT36" s="1">
        <v>330</v>
      </c>
      <c r="BU36" s="1"/>
      <c r="BV36" s="1">
        <v>283</v>
      </c>
      <c r="BW36" s="1"/>
      <c r="BX36" s="1"/>
      <c r="BY36" s="1">
        <f t="shared" si="24"/>
        <v>306.5</v>
      </c>
      <c r="BZ36" s="1">
        <f t="shared" si="25"/>
        <v>0.30649999999999999</v>
      </c>
      <c r="CA36" s="1">
        <f t="shared" si="26"/>
        <v>306.5</v>
      </c>
      <c r="CB36" s="12">
        <f t="shared" si="27"/>
        <v>0.30649999999999999</v>
      </c>
      <c r="CC36" s="13">
        <f t="shared" si="28"/>
        <v>1.9156249999999999</v>
      </c>
      <c r="CD36" s="6"/>
      <c r="CE36" s="6"/>
      <c r="CF36" s="6"/>
      <c r="CG36" s="6"/>
      <c r="CH36" s="6"/>
      <c r="CI36" s="6"/>
      <c r="CJ36" s="13">
        <f>((Q36-CB36)/CB36)*100</f>
        <v>8779.451876019577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</row>
    <row r="37" spans="1:160" x14ac:dyDescent="0.3">
      <c r="A37" s="6" t="s">
        <v>75</v>
      </c>
      <c r="B37" s="10" t="s">
        <v>75</v>
      </c>
      <c r="C37" s="10" t="s">
        <v>76</v>
      </c>
      <c r="D37" s="6" t="s">
        <v>76</v>
      </c>
      <c r="E37" s="7"/>
      <c r="F37" s="7"/>
      <c r="G37" s="7"/>
      <c r="H37" s="7"/>
      <c r="I37" s="1"/>
      <c r="J37" s="1"/>
      <c r="K37" s="1">
        <v>6.4</v>
      </c>
      <c r="L37" s="1"/>
      <c r="M37" s="1"/>
      <c r="N37" s="1"/>
      <c r="O37" s="1">
        <v>6</v>
      </c>
      <c r="P37" s="1"/>
      <c r="Q37" s="12"/>
      <c r="R37" s="1"/>
      <c r="S37" s="1"/>
      <c r="T37" s="1">
        <v>6.2</v>
      </c>
      <c r="U37" s="1">
        <v>6.4</v>
      </c>
      <c r="V37" s="1">
        <v>6</v>
      </c>
      <c r="W37" s="1">
        <f t="shared" si="22"/>
        <v>7</v>
      </c>
      <c r="X37" s="1">
        <v>7</v>
      </c>
      <c r="Y37" s="1"/>
      <c r="Z37" s="1"/>
      <c r="AA37" s="1">
        <v>7</v>
      </c>
      <c r="AB37" s="1"/>
      <c r="AC37" s="1">
        <v>6.3</v>
      </c>
      <c r="AD37" s="1">
        <v>6.35</v>
      </c>
      <c r="AE37" s="1">
        <f t="shared" ref="AE37:AE65" si="31">AVERAGE(E37:P37)</f>
        <v>6.2</v>
      </c>
      <c r="AF37" s="1">
        <f t="shared" si="23"/>
        <v>6.6624999999999996</v>
      </c>
      <c r="AG37" s="1">
        <f t="shared" si="29"/>
        <v>6.4312500000000004</v>
      </c>
      <c r="AH37" s="1">
        <v>13</v>
      </c>
      <c r="AI37" s="1">
        <v>15</v>
      </c>
      <c r="AJ37" s="1">
        <v>12</v>
      </c>
      <c r="AK37" s="1">
        <v>15</v>
      </c>
      <c r="AL37" s="1">
        <v>14</v>
      </c>
      <c r="AM37" s="1">
        <v>13.5</v>
      </c>
      <c r="AN37" s="1">
        <v>13.42</v>
      </c>
      <c r="AO37" s="1">
        <v>13.4</v>
      </c>
      <c r="AP37" s="1">
        <v>13.2</v>
      </c>
      <c r="AQ37" s="1">
        <f t="shared" ref="AQ37:AQ65" si="32">AVERAGE(AH37:AK37)</f>
        <v>13.75</v>
      </c>
      <c r="AR37" s="1">
        <f>AVERAGE(AN37:AP37)</f>
        <v>13.339999999999998</v>
      </c>
      <c r="AS37" s="12">
        <f t="shared" si="30"/>
        <v>13.442499999999999</v>
      </c>
      <c r="AT37" s="1"/>
      <c r="AU37" s="1"/>
      <c r="AV37" s="1">
        <v>3.89</v>
      </c>
      <c r="AW37" s="1"/>
      <c r="AX37" s="1"/>
      <c r="AY37" s="1"/>
      <c r="AZ37" s="1">
        <v>4.4000000000000004</v>
      </c>
      <c r="BA37" s="1"/>
      <c r="BB37" s="1"/>
      <c r="BC37" s="1"/>
      <c r="BD37" s="1"/>
      <c r="BE37" s="1"/>
      <c r="BF37" s="1"/>
      <c r="BG37" s="1"/>
      <c r="BH37" s="1">
        <v>6.61</v>
      </c>
      <c r="BI37" s="1">
        <f>BO37+BP37</f>
        <v>3.9799999999999995</v>
      </c>
      <c r="BJ37" s="1"/>
      <c r="BK37" s="1"/>
      <c r="BL37" s="1"/>
      <c r="BM37" s="1">
        <f t="shared" si="21"/>
        <v>4.7200000000000006</v>
      </c>
      <c r="BN37" s="12">
        <f t="shared" si="3"/>
        <v>4.7200000000000006</v>
      </c>
      <c r="BO37" s="1">
        <v>2.0099999999999998</v>
      </c>
      <c r="BP37" s="1">
        <v>1.97</v>
      </c>
      <c r="BQ37" s="1"/>
      <c r="BR37" s="1">
        <v>193</v>
      </c>
      <c r="BS37" s="1"/>
      <c r="BT37" s="1"/>
      <c r="BU37" s="1"/>
      <c r="BV37" s="1">
        <v>193</v>
      </c>
      <c r="BW37" s="1"/>
      <c r="BX37" s="1"/>
      <c r="BY37" s="1">
        <f t="shared" si="24"/>
        <v>193</v>
      </c>
      <c r="BZ37" s="1">
        <f t="shared" si="25"/>
        <v>0.193</v>
      </c>
      <c r="CA37" s="1">
        <f t="shared" si="26"/>
        <v>193</v>
      </c>
      <c r="CB37" s="12">
        <f t="shared" si="27"/>
        <v>0.193</v>
      </c>
      <c r="CC37" s="13">
        <f t="shared" si="28"/>
        <v>0.9109600000000001</v>
      </c>
      <c r="CD37" s="6">
        <v>16.899999999999999</v>
      </c>
      <c r="CE37" s="6"/>
      <c r="CF37" s="6">
        <f>AVERAGE(CD37:CE37)</f>
        <v>16.899999999999999</v>
      </c>
      <c r="CG37" s="6">
        <v>42.9</v>
      </c>
      <c r="CH37" s="6"/>
      <c r="CI37" s="6">
        <v>42.9</v>
      </c>
      <c r="CJ37" s="13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</row>
    <row r="38" spans="1:160" x14ac:dyDescent="0.3">
      <c r="A38" s="6" t="s">
        <v>77</v>
      </c>
      <c r="B38" s="10" t="s">
        <v>77</v>
      </c>
      <c r="C38" s="10" t="s">
        <v>78</v>
      </c>
      <c r="D38" s="6" t="s">
        <v>79</v>
      </c>
      <c r="E38" s="7"/>
      <c r="F38" s="7"/>
      <c r="G38" s="7"/>
      <c r="H38" s="7"/>
      <c r="I38" s="1"/>
      <c r="J38" s="1"/>
      <c r="K38" s="1">
        <v>45</v>
      </c>
      <c r="L38" s="1">
        <v>50</v>
      </c>
      <c r="M38" s="1"/>
      <c r="N38" s="1"/>
      <c r="O38" s="1">
        <v>40</v>
      </c>
      <c r="P38" s="1">
        <v>45</v>
      </c>
      <c r="Q38" s="12"/>
      <c r="R38" s="1"/>
      <c r="S38" s="1"/>
      <c r="T38" s="1">
        <v>45</v>
      </c>
      <c r="U38" s="1">
        <v>47.5</v>
      </c>
      <c r="V38" s="1">
        <v>42.5</v>
      </c>
      <c r="W38" s="1">
        <f t="shared" si="22"/>
        <v>45</v>
      </c>
      <c r="X38" s="1">
        <v>47.5</v>
      </c>
      <c r="Y38" s="1">
        <v>42.5</v>
      </c>
      <c r="Z38" s="1"/>
      <c r="AA38" s="1"/>
      <c r="AB38" s="1"/>
      <c r="AC38" s="1"/>
      <c r="AD38" s="1"/>
      <c r="AE38" s="1">
        <f t="shared" si="31"/>
        <v>45</v>
      </c>
      <c r="AF38" s="1">
        <f t="shared" si="23"/>
        <v>45</v>
      </c>
      <c r="AG38" s="1">
        <f t="shared" si="29"/>
        <v>45</v>
      </c>
      <c r="AH38" s="1">
        <v>9</v>
      </c>
      <c r="AI38" s="1">
        <v>12</v>
      </c>
      <c r="AJ38" s="1">
        <v>10</v>
      </c>
      <c r="AK38" s="1">
        <v>11</v>
      </c>
      <c r="AL38" s="1">
        <v>10.5</v>
      </c>
      <c r="AM38" s="1">
        <v>10.5</v>
      </c>
      <c r="AN38" s="1"/>
      <c r="AO38" s="1"/>
      <c r="AP38" s="1"/>
      <c r="AQ38" s="1">
        <f t="shared" si="32"/>
        <v>10.5</v>
      </c>
      <c r="AR38" s="1"/>
      <c r="AS38" s="12">
        <f t="shared" si="30"/>
        <v>10.5</v>
      </c>
      <c r="AT38" s="1"/>
      <c r="AU38" s="1"/>
      <c r="AV38" s="1"/>
      <c r="AW38" s="1"/>
      <c r="AX38" s="1"/>
      <c r="AY38" s="1">
        <v>6</v>
      </c>
      <c r="AZ38" s="1">
        <v>8.1999999999999993</v>
      </c>
      <c r="BA38" s="1"/>
      <c r="BB38" s="1"/>
      <c r="BC38" s="1"/>
      <c r="BD38" s="1"/>
      <c r="BE38" s="1">
        <v>6.5</v>
      </c>
      <c r="BF38" s="1"/>
      <c r="BG38" s="1"/>
      <c r="BH38" s="1"/>
      <c r="BI38" s="1"/>
      <c r="BJ38" s="1"/>
      <c r="BK38" s="1"/>
      <c r="BL38" s="1"/>
      <c r="BM38" s="1">
        <f t="shared" si="21"/>
        <v>6.8999999999999995</v>
      </c>
      <c r="BN38" s="12">
        <f t="shared" si="3"/>
        <v>6.8999999999999995</v>
      </c>
      <c r="BO38" s="1"/>
      <c r="BP38" s="1"/>
      <c r="BQ38" s="1"/>
      <c r="BR38" s="1">
        <v>432.5</v>
      </c>
      <c r="BS38" s="1"/>
      <c r="BT38" s="1">
        <v>494</v>
      </c>
      <c r="BU38" s="1"/>
      <c r="BV38" s="1">
        <v>465</v>
      </c>
      <c r="BW38" s="1">
        <v>400</v>
      </c>
      <c r="BX38" s="1"/>
      <c r="BY38" s="1">
        <f t="shared" si="24"/>
        <v>463.25</v>
      </c>
      <c r="BZ38" s="1">
        <f t="shared" si="25"/>
        <v>0.46325</v>
      </c>
      <c r="CA38" s="1">
        <f t="shared" si="26"/>
        <v>463.25</v>
      </c>
      <c r="CB38" s="12">
        <f t="shared" si="27"/>
        <v>0.46325</v>
      </c>
      <c r="CC38" s="13">
        <f t="shared" si="28"/>
        <v>3.1964249999999996</v>
      </c>
      <c r="CD38" s="6"/>
      <c r="CE38" s="6"/>
      <c r="CF38" s="6"/>
      <c r="CG38" s="6"/>
      <c r="CH38" s="6"/>
      <c r="CI38" s="6"/>
      <c r="CJ38" s="13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</row>
    <row r="39" spans="1:160" x14ac:dyDescent="0.3">
      <c r="A39" s="6" t="s">
        <v>80</v>
      </c>
      <c r="B39" s="10" t="s">
        <v>80</v>
      </c>
      <c r="C39" s="10" t="s">
        <v>81</v>
      </c>
      <c r="D39" s="6" t="s">
        <v>81</v>
      </c>
      <c r="E39" s="7"/>
      <c r="F39" s="7"/>
      <c r="G39" s="7"/>
      <c r="H39" s="7"/>
      <c r="I39" s="1">
        <v>13.607760000000001</v>
      </c>
      <c r="J39" s="1">
        <v>17.236495999999999</v>
      </c>
      <c r="K39" s="1">
        <v>13.5</v>
      </c>
      <c r="L39" s="1">
        <v>17</v>
      </c>
      <c r="M39" s="1">
        <v>11.3398</v>
      </c>
      <c r="N39" s="1">
        <v>15.422128000000001</v>
      </c>
      <c r="O39" s="1">
        <v>11.5</v>
      </c>
      <c r="P39" s="1">
        <v>15.5</v>
      </c>
      <c r="Q39" s="12">
        <v>14.401546</v>
      </c>
      <c r="R39" s="1">
        <v>15.422128000000001</v>
      </c>
      <c r="S39" s="1">
        <v>13.380964000000001</v>
      </c>
      <c r="T39" s="1">
        <v>14.375</v>
      </c>
      <c r="U39" s="1">
        <v>15.25</v>
      </c>
      <c r="V39" s="1">
        <v>13.5</v>
      </c>
      <c r="W39" s="1">
        <f t="shared" si="22"/>
        <v>12.5</v>
      </c>
      <c r="X39" s="1">
        <v>12.5</v>
      </c>
      <c r="Y39" s="1"/>
      <c r="Z39" s="1"/>
      <c r="AA39" s="1"/>
      <c r="AB39" s="1"/>
      <c r="AC39" s="1"/>
      <c r="AD39" s="1"/>
      <c r="AE39" s="1">
        <f t="shared" si="31"/>
        <v>14.388273</v>
      </c>
      <c r="AF39" s="1">
        <f t="shared" si="23"/>
        <v>12.5</v>
      </c>
      <c r="AG39" s="1">
        <f t="shared" si="29"/>
        <v>13.444136499999999</v>
      </c>
      <c r="AH39" s="1">
        <v>12</v>
      </c>
      <c r="AI39" s="1">
        <v>15</v>
      </c>
      <c r="AJ39" s="1">
        <v>12</v>
      </c>
      <c r="AK39" s="1">
        <v>15</v>
      </c>
      <c r="AL39" s="1">
        <v>13.5</v>
      </c>
      <c r="AM39" s="1">
        <v>13.5</v>
      </c>
      <c r="AN39" s="1"/>
      <c r="AO39" s="1"/>
      <c r="AP39" s="1"/>
      <c r="AQ39" s="1">
        <f t="shared" si="32"/>
        <v>13.5</v>
      </c>
      <c r="AR39" s="1"/>
      <c r="AS39" s="12">
        <f t="shared" si="30"/>
        <v>13.5</v>
      </c>
      <c r="AT39" s="1">
        <v>5.5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>
        <f>AVERAGE(AT39:AU39)</f>
        <v>5.5</v>
      </c>
      <c r="BM39" s="1"/>
      <c r="BN39" s="12">
        <f t="shared" si="3"/>
        <v>5.5</v>
      </c>
      <c r="BO39" s="1"/>
      <c r="BP39" s="1"/>
      <c r="BQ39" s="1">
        <v>340.19400000000002</v>
      </c>
      <c r="BR39" s="1">
        <v>340</v>
      </c>
      <c r="BS39" s="1"/>
      <c r="BT39" s="1"/>
      <c r="BU39" s="1"/>
      <c r="BV39" s="1">
        <v>340</v>
      </c>
      <c r="BW39" s="1"/>
      <c r="BX39" s="1">
        <v>340.19400000000002</v>
      </c>
      <c r="BY39" s="1">
        <f t="shared" si="24"/>
        <v>340</v>
      </c>
      <c r="BZ39" s="1">
        <f t="shared" si="25"/>
        <v>0.34</v>
      </c>
      <c r="CA39" s="1">
        <f t="shared" si="26"/>
        <v>340.09699999999998</v>
      </c>
      <c r="CB39" s="12">
        <f t="shared" si="27"/>
        <v>0.34009699999999998</v>
      </c>
      <c r="CC39" s="13">
        <f t="shared" si="28"/>
        <v>1.8705334999999998</v>
      </c>
      <c r="CD39" s="6"/>
      <c r="CE39" s="6"/>
      <c r="CF39" s="6"/>
      <c r="CG39" s="6"/>
      <c r="CH39" s="6"/>
      <c r="CI39" s="6"/>
      <c r="CJ39" s="13">
        <f t="shared" ref="CJ39:CJ50" si="33">((Q39-CB39)/CB39)*100</f>
        <v>4134.5407339670746</v>
      </c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</row>
    <row r="40" spans="1:160" x14ac:dyDescent="0.3">
      <c r="A40" s="6" t="s">
        <v>82</v>
      </c>
      <c r="B40" s="10" t="s">
        <v>82</v>
      </c>
      <c r="C40" s="10" t="s">
        <v>83</v>
      </c>
      <c r="D40" s="6" t="s">
        <v>83</v>
      </c>
      <c r="E40" s="7">
        <v>27.215520000000001</v>
      </c>
      <c r="F40" s="7">
        <v>43.091239999999999</v>
      </c>
      <c r="G40" s="7">
        <v>32</v>
      </c>
      <c r="H40" s="7">
        <v>36</v>
      </c>
      <c r="I40" s="1"/>
      <c r="J40" s="1"/>
      <c r="K40" s="1"/>
      <c r="L40" s="1"/>
      <c r="M40" s="1"/>
      <c r="N40" s="1"/>
      <c r="O40" s="1"/>
      <c r="P40" s="1"/>
      <c r="Q40" s="12">
        <v>35.153379999999999</v>
      </c>
      <c r="R40" s="1"/>
      <c r="S40" s="1"/>
      <c r="T40" s="1">
        <v>34</v>
      </c>
      <c r="U40" s="1"/>
      <c r="V40" s="1"/>
      <c r="W40" s="1">
        <f t="shared" si="22"/>
        <v>37.42</v>
      </c>
      <c r="X40" s="1">
        <v>37.42</v>
      </c>
      <c r="Y40" s="1"/>
      <c r="Z40" s="1"/>
      <c r="AA40" s="1"/>
      <c r="AB40" s="1"/>
      <c r="AC40" s="1"/>
      <c r="AD40" s="1"/>
      <c r="AE40" s="1">
        <f t="shared" si="31"/>
        <v>34.576689999999999</v>
      </c>
      <c r="AF40" s="1">
        <f t="shared" si="23"/>
        <v>37.42</v>
      </c>
      <c r="AG40" s="1">
        <f t="shared" si="29"/>
        <v>35.998345</v>
      </c>
      <c r="AH40" s="1">
        <v>10</v>
      </c>
      <c r="AI40" s="1">
        <v>12</v>
      </c>
      <c r="AJ40" s="1">
        <v>10</v>
      </c>
      <c r="AK40" s="1">
        <v>13</v>
      </c>
      <c r="AL40" s="1">
        <v>11</v>
      </c>
      <c r="AM40" s="1">
        <v>11.5</v>
      </c>
      <c r="AN40" s="1"/>
      <c r="AO40" s="1"/>
      <c r="AP40" s="1"/>
      <c r="AQ40" s="1">
        <f t="shared" si="32"/>
        <v>11.25</v>
      </c>
      <c r="AR40" s="1"/>
      <c r="AS40" s="12">
        <f t="shared" si="30"/>
        <v>11.25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>
        <v>7.5</v>
      </c>
      <c r="BK40" s="1">
        <v>7</v>
      </c>
      <c r="BL40" s="1"/>
      <c r="BM40" s="1"/>
      <c r="BN40" s="12">
        <f t="shared" si="3"/>
        <v>7.25</v>
      </c>
      <c r="BO40" s="1"/>
      <c r="BP40" s="1"/>
      <c r="BQ40" s="1"/>
      <c r="BR40" s="1">
        <v>358</v>
      </c>
      <c r="BS40" s="1"/>
      <c r="BT40" s="1"/>
      <c r="BU40" s="1"/>
      <c r="BV40" s="1">
        <v>358</v>
      </c>
      <c r="BW40" s="1"/>
      <c r="BX40" s="1"/>
      <c r="BY40" s="1">
        <f t="shared" si="24"/>
        <v>358</v>
      </c>
      <c r="BZ40" s="1">
        <f t="shared" si="25"/>
        <v>0.35799999999999998</v>
      </c>
      <c r="CA40" s="1">
        <f t="shared" si="26"/>
        <v>358</v>
      </c>
      <c r="CB40" s="12">
        <f t="shared" si="27"/>
        <v>0.35799999999999998</v>
      </c>
      <c r="CC40" s="13">
        <f t="shared" si="28"/>
        <v>2.5954999999999999</v>
      </c>
      <c r="CD40" s="6"/>
      <c r="CE40" s="6"/>
      <c r="CF40" s="6"/>
      <c r="CG40" s="6"/>
      <c r="CH40" s="6"/>
      <c r="CI40" s="6"/>
      <c r="CJ40" s="13">
        <f t="shared" si="33"/>
        <v>9719.3798882681585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</row>
    <row r="41" spans="1:160" x14ac:dyDescent="0.3">
      <c r="A41" s="6" t="s">
        <v>84</v>
      </c>
      <c r="B41" s="10" t="s">
        <v>84</v>
      </c>
      <c r="C41" s="10" t="s">
        <v>85</v>
      </c>
      <c r="D41" s="6" t="s">
        <v>86</v>
      </c>
      <c r="E41" s="7">
        <v>2.721552</v>
      </c>
      <c r="F41" s="7">
        <v>2.721552</v>
      </c>
      <c r="G41" s="7">
        <v>2.5</v>
      </c>
      <c r="H41" s="7"/>
      <c r="I41" s="1"/>
      <c r="J41" s="1"/>
      <c r="K41" s="1"/>
      <c r="L41" s="1"/>
      <c r="M41" s="1"/>
      <c r="N41" s="1"/>
      <c r="O41" s="1"/>
      <c r="P41" s="1"/>
      <c r="Q41" s="12">
        <v>2.721552</v>
      </c>
      <c r="R41" s="1"/>
      <c r="S41" s="1"/>
      <c r="T41" s="1">
        <v>2.5</v>
      </c>
      <c r="U41" s="1"/>
      <c r="V41" s="1"/>
      <c r="W41" s="1">
        <f t="shared" si="22"/>
        <v>1.41</v>
      </c>
      <c r="X41" s="1">
        <v>1.41</v>
      </c>
      <c r="Y41" s="1"/>
      <c r="Z41" s="1"/>
      <c r="AA41" s="1">
        <v>2</v>
      </c>
      <c r="AB41" s="1">
        <v>2.3130000000000002</v>
      </c>
      <c r="AC41" s="1"/>
      <c r="AD41" s="1">
        <v>1.81</v>
      </c>
      <c r="AE41" s="1">
        <f t="shared" si="31"/>
        <v>2.6477013333333335</v>
      </c>
      <c r="AF41" s="1">
        <f t="shared" si="23"/>
        <v>1.8832500000000003</v>
      </c>
      <c r="AG41" s="1">
        <f t="shared" si="29"/>
        <v>2.2654756666666671</v>
      </c>
      <c r="AH41" s="1">
        <v>14</v>
      </c>
      <c r="AI41" s="1">
        <v>16</v>
      </c>
      <c r="AJ41" s="1">
        <v>12</v>
      </c>
      <c r="AK41" s="1">
        <v>14</v>
      </c>
      <c r="AL41" s="1">
        <v>15</v>
      </c>
      <c r="AM41" s="1">
        <v>13</v>
      </c>
      <c r="AN41" s="1"/>
      <c r="AO41" s="1">
        <v>7.1</v>
      </c>
      <c r="AP41" s="1">
        <v>13</v>
      </c>
      <c r="AQ41" s="1">
        <f t="shared" si="32"/>
        <v>14</v>
      </c>
      <c r="AR41" s="1">
        <f>AVERAGE(AN41:AP41)</f>
        <v>10.050000000000001</v>
      </c>
      <c r="AS41" s="12">
        <f t="shared" si="30"/>
        <v>11.366666666666667</v>
      </c>
      <c r="AT41" s="1">
        <v>2.4500000000000002</v>
      </c>
      <c r="AU41" s="1"/>
      <c r="AV41" s="1"/>
      <c r="AW41" s="1"/>
      <c r="AX41" s="1"/>
      <c r="AY41" s="1">
        <v>2.83</v>
      </c>
      <c r="AZ41" s="1">
        <v>3.2</v>
      </c>
      <c r="BA41" s="1"/>
      <c r="BB41" s="1"/>
      <c r="BC41" s="1"/>
      <c r="BD41" s="1"/>
      <c r="BE41" s="1">
        <v>3</v>
      </c>
      <c r="BF41" s="1"/>
      <c r="BG41" s="1"/>
      <c r="BH41" s="1"/>
      <c r="BI41" s="1"/>
      <c r="BJ41" s="1"/>
      <c r="BK41" s="1"/>
      <c r="BL41" s="1">
        <f>AVERAGE(AT41:AU41)</f>
        <v>2.4500000000000002</v>
      </c>
      <c r="BM41" s="1">
        <f>AVERAGE(AV41:BI41)</f>
        <v>3.0100000000000002</v>
      </c>
      <c r="BN41" s="12">
        <f t="shared" si="3"/>
        <v>2.87</v>
      </c>
      <c r="BO41" s="1"/>
      <c r="BP41" s="1"/>
      <c r="BQ41" s="1"/>
      <c r="BR41" s="1">
        <v>113</v>
      </c>
      <c r="BS41" s="1"/>
      <c r="BT41" s="1">
        <v>140</v>
      </c>
      <c r="BU41" s="1">
        <v>146.9</v>
      </c>
      <c r="BV41" s="1">
        <v>113</v>
      </c>
      <c r="BW41" s="1"/>
      <c r="BX41" s="1"/>
      <c r="BY41" s="1">
        <f t="shared" si="24"/>
        <v>133.29999999999998</v>
      </c>
      <c r="BZ41" s="1">
        <f t="shared" si="25"/>
        <v>0.13329999999999997</v>
      </c>
      <c r="CA41" s="1">
        <f t="shared" si="26"/>
        <v>133.29999999999998</v>
      </c>
      <c r="CB41" s="12">
        <f t="shared" si="27"/>
        <v>0.13329999999999997</v>
      </c>
      <c r="CC41" s="13">
        <f t="shared" si="28"/>
        <v>0.38257099999999994</v>
      </c>
      <c r="CD41" s="6"/>
      <c r="CE41" s="6"/>
      <c r="CF41" s="6"/>
      <c r="CG41" s="6"/>
      <c r="CH41" s="6"/>
      <c r="CI41" s="6"/>
      <c r="CJ41" s="13">
        <f t="shared" si="33"/>
        <v>1941.6744186046515</v>
      </c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</row>
    <row r="42" spans="1:160" x14ac:dyDescent="0.3">
      <c r="A42" s="6" t="s">
        <v>87</v>
      </c>
      <c r="B42" s="10" t="s">
        <v>87</v>
      </c>
      <c r="C42" s="10" t="s">
        <v>88</v>
      </c>
      <c r="D42" s="6" t="s">
        <v>89</v>
      </c>
      <c r="E42" s="7">
        <v>3.175144</v>
      </c>
      <c r="F42" s="7">
        <v>4.9895120000000004</v>
      </c>
      <c r="G42" s="7">
        <v>2</v>
      </c>
      <c r="H42" s="7">
        <v>5</v>
      </c>
      <c r="I42" s="1"/>
      <c r="J42" s="1"/>
      <c r="K42" s="1"/>
      <c r="L42" s="1"/>
      <c r="M42" s="1"/>
      <c r="N42" s="1"/>
      <c r="O42" s="1"/>
      <c r="P42" s="1"/>
      <c r="Q42" s="12">
        <v>4.0823280000000004</v>
      </c>
      <c r="R42" s="1"/>
      <c r="S42" s="1"/>
      <c r="T42" s="1">
        <v>3.5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f t="shared" si="31"/>
        <v>3.7911640000000002</v>
      </c>
      <c r="AF42" s="1"/>
      <c r="AG42" s="1">
        <f t="shared" si="29"/>
        <v>3.7911640000000002</v>
      </c>
      <c r="AH42" s="1">
        <v>10</v>
      </c>
      <c r="AI42" s="1">
        <v>12</v>
      </c>
      <c r="AJ42" s="1">
        <v>12</v>
      </c>
      <c r="AK42" s="1">
        <v>14</v>
      </c>
      <c r="AL42" s="1">
        <v>11</v>
      </c>
      <c r="AM42" s="1">
        <v>13</v>
      </c>
      <c r="AN42" s="1"/>
      <c r="AO42" s="1"/>
      <c r="AP42" s="1"/>
      <c r="AQ42" s="1">
        <f t="shared" si="32"/>
        <v>12</v>
      </c>
      <c r="AR42" s="1"/>
      <c r="AS42" s="12">
        <f t="shared" si="30"/>
        <v>12</v>
      </c>
      <c r="AT42" s="1">
        <v>4</v>
      </c>
      <c r="AU42" s="1"/>
      <c r="AV42" s="1"/>
      <c r="AW42" s="1"/>
      <c r="AX42" s="1"/>
      <c r="AY42" s="1"/>
      <c r="AZ42" s="1">
        <v>1.9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>
        <f>AVERAGE(AT42:AU42)</f>
        <v>4</v>
      </c>
      <c r="BM42" s="1">
        <f>AVERAGE(AV42:BI42)</f>
        <v>1.9</v>
      </c>
      <c r="BN42" s="12">
        <f t="shared" si="3"/>
        <v>2.95</v>
      </c>
      <c r="BO42" s="1"/>
      <c r="BP42" s="1"/>
      <c r="BQ42" s="1">
        <v>198.44649999999999</v>
      </c>
      <c r="BR42" s="1"/>
      <c r="BS42" s="1"/>
      <c r="BT42" s="1"/>
      <c r="BU42" s="1"/>
      <c r="BV42" s="1"/>
      <c r="BW42" s="1"/>
      <c r="BX42" s="1">
        <v>198.44649999999999</v>
      </c>
      <c r="BY42" s="1"/>
      <c r="BZ42" s="1"/>
      <c r="CA42" s="1">
        <f t="shared" si="26"/>
        <v>198.44649999999999</v>
      </c>
      <c r="CB42" s="12">
        <f t="shared" si="27"/>
        <v>0.1984465</v>
      </c>
      <c r="CC42" s="13">
        <f t="shared" si="28"/>
        <v>0.58541717500000001</v>
      </c>
      <c r="CD42" s="6"/>
      <c r="CE42" s="6"/>
      <c r="CF42" s="6"/>
      <c r="CG42" s="6"/>
      <c r="CH42" s="6"/>
      <c r="CI42" s="6"/>
      <c r="CJ42" s="13">
        <f t="shared" si="33"/>
        <v>1957.1428571428573</v>
      </c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</row>
    <row r="43" spans="1:160" x14ac:dyDescent="0.3">
      <c r="A43" s="6" t="s">
        <v>90</v>
      </c>
      <c r="B43" s="10" t="s">
        <v>90</v>
      </c>
      <c r="C43" s="10" t="s">
        <v>91</v>
      </c>
      <c r="D43" s="6" t="s">
        <v>91</v>
      </c>
      <c r="E43" s="7">
        <v>20.411639999999998</v>
      </c>
      <c r="F43" s="7">
        <v>31.751439999999999</v>
      </c>
      <c r="G43" s="7">
        <v>20</v>
      </c>
      <c r="H43" s="7">
        <v>32</v>
      </c>
      <c r="I43" s="1"/>
      <c r="J43" s="1"/>
      <c r="K43" s="1"/>
      <c r="L43" s="1"/>
      <c r="M43" s="1"/>
      <c r="N43" s="1"/>
      <c r="O43" s="1"/>
      <c r="P43" s="1"/>
      <c r="Q43" s="12">
        <v>26.08154</v>
      </c>
      <c r="R43" s="1"/>
      <c r="S43" s="1"/>
      <c r="T43" s="1">
        <v>26</v>
      </c>
      <c r="U43" s="1"/>
      <c r="V43" s="1"/>
      <c r="W43" s="1"/>
      <c r="X43" s="1"/>
      <c r="Y43" s="1"/>
      <c r="Z43" s="1"/>
      <c r="AA43" s="1">
        <v>25</v>
      </c>
      <c r="AB43" s="1">
        <v>27.22</v>
      </c>
      <c r="AC43" s="1"/>
      <c r="AD43" s="1">
        <v>24.95</v>
      </c>
      <c r="AE43" s="1">
        <f t="shared" si="31"/>
        <v>26.040769999999998</v>
      </c>
      <c r="AF43" s="1">
        <f t="shared" ref="AF43:AF50" si="34">AVERAGE(X43:AD43)</f>
        <v>25.723333333333333</v>
      </c>
      <c r="AG43" s="1">
        <f t="shared" si="29"/>
        <v>25.882051666666666</v>
      </c>
      <c r="AH43" s="1">
        <v>8</v>
      </c>
      <c r="AI43" s="1">
        <v>12</v>
      </c>
      <c r="AJ43" s="1">
        <v>11</v>
      </c>
      <c r="AK43" s="1">
        <v>12</v>
      </c>
      <c r="AL43" s="1">
        <v>10</v>
      </c>
      <c r="AM43" s="1">
        <v>11.5</v>
      </c>
      <c r="AN43" s="1"/>
      <c r="AO43" s="1"/>
      <c r="AP43" s="1">
        <v>13.5</v>
      </c>
      <c r="AQ43" s="1">
        <f t="shared" si="32"/>
        <v>10.75</v>
      </c>
      <c r="AR43" s="1">
        <f>AVERAGE(AN43:AP43)</f>
        <v>13.5</v>
      </c>
      <c r="AS43" s="12">
        <f t="shared" si="30"/>
        <v>12.125</v>
      </c>
      <c r="AT43" s="1"/>
      <c r="AU43" s="1"/>
      <c r="AV43" s="1"/>
      <c r="AW43" s="1"/>
      <c r="AX43" s="1"/>
      <c r="AY43" s="1"/>
      <c r="AZ43" s="1">
        <v>4.4000000000000004</v>
      </c>
      <c r="BA43" s="1"/>
      <c r="BB43" s="1"/>
      <c r="BC43" s="1"/>
      <c r="BD43" s="1"/>
      <c r="BE43" s="1">
        <v>4</v>
      </c>
      <c r="BF43" s="1"/>
      <c r="BG43" s="1"/>
      <c r="BH43" s="1"/>
      <c r="BI43" s="1">
        <f>BO43+BP43</f>
        <v>4.07</v>
      </c>
      <c r="BJ43" s="1"/>
      <c r="BK43" s="1"/>
      <c r="BL43" s="1"/>
      <c r="BM43" s="1">
        <f>AVERAGE(AV43:BI43)</f>
        <v>4.1566666666666672</v>
      </c>
      <c r="BN43" s="12">
        <f t="shared" si="3"/>
        <v>4.1566666666666672</v>
      </c>
      <c r="BO43" s="1">
        <v>1.94</v>
      </c>
      <c r="BP43" s="1">
        <v>2.13</v>
      </c>
      <c r="BQ43" s="1"/>
      <c r="BR43" s="1"/>
      <c r="BS43" s="1"/>
      <c r="BT43" s="1">
        <v>400</v>
      </c>
      <c r="BU43" s="1"/>
      <c r="BV43" s="1"/>
      <c r="BW43" s="1"/>
      <c r="BX43" s="1"/>
      <c r="BY43" s="1">
        <f t="shared" ref="BY43:BY56" si="35">AVERAGE(BR43:BU43)</f>
        <v>400</v>
      </c>
      <c r="BZ43" s="1">
        <f t="shared" ref="BZ43:BZ56" si="36">BY43/1000</f>
        <v>0.4</v>
      </c>
      <c r="CA43" s="1">
        <f t="shared" si="26"/>
        <v>400</v>
      </c>
      <c r="CB43" s="12">
        <f t="shared" si="27"/>
        <v>0.4</v>
      </c>
      <c r="CC43" s="13">
        <f t="shared" si="28"/>
        <v>1.662666666666667</v>
      </c>
      <c r="CD43" s="6"/>
      <c r="CE43" s="6"/>
      <c r="CF43" s="6"/>
      <c r="CG43" s="6"/>
      <c r="CH43" s="6"/>
      <c r="CI43" s="6"/>
      <c r="CJ43" s="13">
        <f t="shared" si="33"/>
        <v>6420.3850000000002</v>
      </c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</row>
    <row r="44" spans="1:160" x14ac:dyDescent="0.3">
      <c r="A44" s="6" t="s">
        <v>92</v>
      </c>
      <c r="B44" s="10" t="s">
        <v>92</v>
      </c>
      <c r="C44" s="10" t="s">
        <v>93</v>
      </c>
      <c r="D44" s="6" t="s">
        <v>93</v>
      </c>
      <c r="E44" s="7">
        <v>5.8966960000000004</v>
      </c>
      <c r="F44" s="7">
        <v>8.1646560000000008</v>
      </c>
      <c r="G44" s="7"/>
      <c r="H44" s="7"/>
      <c r="I44" s="1"/>
      <c r="J44" s="1"/>
      <c r="K44" s="1">
        <v>6</v>
      </c>
      <c r="L44" s="1">
        <v>8</v>
      </c>
      <c r="M44" s="1"/>
      <c r="N44" s="1"/>
      <c r="O44" s="1">
        <v>6</v>
      </c>
      <c r="P44" s="1">
        <v>7.5</v>
      </c>
      <c r="Q44" s="12">
        <v>7.0306759999999997</v>
      </c>
      <c r="R44" s="1"/>
      <c r="S44" s="1"/>
      <c r="T44" s="1">
        <v>6.875</v>
      </c>
      <c r="U44" s="1">
        <v>7</v>
      </c>
      <c r="V44" s="1">
        <v>6.75</v>
      </c>
      <c r="W44" s="1">
        <f t="shared" ref="W44:W50" si="37">AVERAGE(X44:Y44)</f>
        <v>6.35</v>
      </c>
      <c r="X44" s="1">
        <v>6.35</v>
      </c>
      <c r="Y44" s="1"/>
      <c r="Z44" s="1"/>
      <c r="AA44" s="1"/>
      <c r="AB44" s="1"/>
      <c r="AC44" s="1"/>
      <c r="AD44" s="1"/>
      <c r="AE44" s="1">
        <f t="shared" si="31"/>
        <v>6.9268919999999996</v>
      </c>
      <c r="AF44" s="1">
        <f t="shared" si="34"/>
        <v>6.35</v>
      </c>
      <c r="AG44" s="1">
        <f t="shared" si="29"/>
        <v>6.6384460000000001</v>
      </c>
      <c r="AH44" s="1">
        <v>12</v>
      </c>
      <c r="AI44" s="1">
        <v>15</v>
      </c>
      <c r="AJ44" s="1">
        <v>9</v>
      </c>
      <c r="AK44" s="1">
        <v>14</v>
      </c>
      <c r="AL44" s="1">
        <v>13.5</v>
      </c>
      <c r="AM44" s="1">
        <v>11.5</v>
      </c>
      <c r="AN44" s="1"/>
      <c r="AO44" s="1">
        <v>12</v>
      </c>
      <c r="AP44" s="1">
        <v>10.7</v>
      </c>
      <c r="AQ44" s="1">
        <f t="shared" si="32"/>
        <v>12.5</v>
      </c>
      <c r="AR44" s="1">
        <f>AVERAGE(AN44:AP44)</f>
        <v>11.35</v>
      </c>
      <c r="AS44" s="12">
        <f t="shared" si="30"/>
        <v>11.733333333333334</v>
      </c>
      <c r="AT44" s="1">
        <v>4.5</v>
      </c>
      <c r="AU44" s="1"/>
      <c r="AV44" s="1"/>
      <c r="AW44" s="1"/>
      <c r="AX44" s="1"/>
      <c r="AY44" s="1">
        <v>8</v>
      </c>
      <c r="AZ44" s="1">
        <v>4.0999999999999996</v>
      </c>
      <c r="BA44" s="1"/>
      <c r="BB44" s="1"/>
      <c r="BC44" s="1"/>
      <c r="BD44" s="1"/>
      <c r="BE44" s="1">
        <v>4.5</v>
      </c>
      <c r="BF44" s="1"/>
      <c r="BG44" s="1"/>
      <c r="BH44" s="1">
        <v>3.88</v>
      </c>
      <c r="BI44" s="1"/>
      <c r="BJ44" s="1"/>
      <c r="BK44" s="1"/>
      <c r="BL44" s="1">
        <f>AVERAGE(AT44:AU44)</f>
        <v>4.5</v>
      </c>
      <c r="BM44" s="1">
        <f>AVERAGE(AV44:BI44)</f>
        <v>5.12</v>
      </c>
      <c r="BN44" s="12">
        <f t="shared" si="3"/>
        <v>4.9960000000000004</v>
      </c>
      <c r="BO44" s="1"/>
      <c r="BP44" s="1"/>
      <c r="BQ44" s="1">
        <v>184.27175</v>
      </c>
      <c r="BR44" s="1">
        <v>210</v>
      </c>
      <c r="BS44" s="1"/>
      <c r="BT44" s="1">
        <v>230</v>
      </c>
      <c r="BU44" s="1"/>
      <c r="BV44" s="1">
        <v>210</v>
      </c>
      <c r="BW44" s="1"/>
      <c r="BX44" s="1">
        <v>184.27175</v>
      </c>
      <c r="BY44" s="1">
        <f t="shared" si="35"/>
        <v>220</v>
      </c>
      <c r="BZ44" s="1">
        <f t="shared" si="36"/>
        <v>0.22</v>
      </c>
      <c r="CA44" s="1">
        <f t="shared" si="26"/>
        <v>208.09058333333334</v>
      </c>
      <c r="CB44" s="12">
        <f t="shared" si="27"/>
        <v>0.20809058333333333</v>
      </c>
      <c r="CC44" s="13">
        <f t="shared" si="28"/>
        <v>1.0396205543333334</v>
      </c>
      <c r="CD44" s="6"/>
      <c r="CE44" s="6"/>
      <c r="CF44" s="6"/>
      <c r="CG44" s="6"/>
      <c r="CH44" s="6"/>
      <c r="CI44" s="6"/>
      <c r="CJ44" s="13">
        <f t="shared" si="33"/>
        <v>3278.6612961422647</v>
      </c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</row>
    <row r="45" spans="1:160" x14ac:dyDescent="0.3">
      <c r="A45" s="6" t="s">
        <v>94</v>
      </c>
      <c r="B45" s="10" t="s">
        <v>94</v>
      </c>
      <c r="C45" s="10" t="s">
        <v>95</v>
      </c>
      <c r="D45" s="6" t="s">
        <v>95</v>
      </c>
      <c r="E45" s="7"/>
      <c r="F45" s="7"/>
      <c r="G45" s="7"/>
      <c r="H45" s="7"/>
      <c r="I45" s="1">
        <v>27.215520000000001</v>
      </c>
      <c r="J45" s="1">
        <v>34.019399999999997</v>
      </c>
      <c r="K45" s="1">
        <v>27</v>
      </c>
      <c r="L45" s="1">
        <v>34</v>
      </c>
      <c r="M45" s="1">
        <v>22.679600000000001</v>
      </c>
      <c r="N45" s="1">
        <v>29.48348</v>
      </c>
      <c r="O45" s="1">
        <v>23</v>
      </c>
      <c r="P45" s="1">
        <v>29.5</v>
      </c>
      <c r="Q45" s="12">
        <v>28.349499999999999</v>
      </c>
      <c r="R45" s="1">
        <v>30.617460000000001</v>
      </c>
      <c r="S45" s="1">
        <v>26.08154</v>
      </c>
      <c r="T45" s="1">
        <v>28.375</v>
      </c>
      <c r="U45" s="1">
        <v>30.5</v>
      </c>
      <c r="V45" s="1">
        <v>26.25</v>
      </c>
      <c r="W45" s="1">
        <f t="shared" si="37"/>
        <v>30.5</v>
      </c>
      <c r="X45" s="1">
        <v>30.5</v>
      </c>
      <c r="Y45" s="1"/>
      <c r="Z45" s="1"/>
      <c r="AA45" s="1">
        <v>31</v>
      </c>
      <c r="AB45" s="1">
        <v>24.95</v>
      </c>
      <c r="AC45" s="1"/>
      <c r="AD45" s="1">
        <v>22</v>
      </c>
      <c r="AE45" s="1">
        <f t="shared" si="31"/>
        <v>28.362250000000003</v>
      </c>
      <c r="AF45" s="1">
        <f t="shared" si="34"/>
        <v>27.112500000000001</v>
      </c>
      <c r="AG45" s="1">
        <f t="shared" si="29"/>
        <v>27.737375</v>
      </c>
      <c r="AH45" s="1">
        <v>12</v>
      </c>
      <c r="AI45" s="1">
        <v>14</v>
      </c>
      <c r="AJ45" s="1">
        <v>14</v>
      </c>
      <c r="AK45" s="1">
        <v>16</v>
      </c>
      <c r="AL45" s="1">
        <v>13</v>
      </c>
      <c r="AM45" s="1">
        <v>15</v>
      </c>
      <c r="AN45" s="1"/>
      <c r="AO45" s="1"/>
      <c r="AP45" s="1">
        <v>13</v>
      </c>
      <c r="AQ45" s="1">
        <f t="shared" si="32"/>
        <v>14</v>
      </c>
      <c r="AR45" s="1">
        <f>AVERAGE(AN45:AP45)</f>
        <v>13</v>
      </c>
      <c r="AS45" s="12">
        <f t="shared" si="30"/>
        <v>13.5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2"/>
      <c r="BO45" s="1"/>
      <c r="BP45" s="1"/>
      <c r="BQ45" s="1"/>
      <c r="BR45" s="1">
        <v>482</v>
      </c>
      <c r="BS45" s="1"/>
      <c r="BT45" s="1">
        <v>155</v>
      </c>
      <c r="BU45" s="1"/>
      <c r="BV45" s="1">
        <v>482</v>
      </c>
      <c r="BW45" s="1"/>
      <c r="BX45" s="1"/>
      <c r="BY45" s="1">
        <f t="shared" si="35"/>
        <v>318.5</v>
      </c>
      <c r="BZ45" s="1">
        <f t="shared" si="36"/>
        <v>0.31850000000000001</v>
      </c>
      <c r="CA45" s="1">
        <f t="shared" si="26"/>
        <v>318.5</v>
      </c>
      <c r="CB45" s="12">
        <f t="shared" si="27"/>
        <v>0.31850000000000001</v>
      </c>
      <c r="CC45" s="13">
        <f t="shared" si="28"/>
        <v>0</v>
      </c>
      <c r="CD45" s="6"/>
      <c r="CE45" s="6"/>
      <c r="CF45" s="6"/>
      <c r="CG45" s="6"/>
      <c r="CH45" s="6"/>
      <c r="CI45" s="6"/>
      <c r="CJ45" s="13">
        <f t="shared" si="33"/>
        <v>8800.9419152276296</v>
      </c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</row>
    <row r="46" spans="1:160" x14ac:dyDescent="0.3">
      <c r="A46" s="6" t="s">
        <v>96</v>
      </c>
      <c r="B46" s="10" t="s">
        <v>96</v>
      </c>
      <c r="C46" s="10" t="s">
        <v>97</v>
      </c>
      <c r="D46" s="6" t="s">
        <v>97</v>
      </c>
      <c r="E46" s="7"/>
      <c r="F46" s="7"/>
      <c r="G46" s="7"/>
      <c r="H46" s="7"/>
      <c r="I46" s="1">
        <v>4.0823280000000004</v>
      </c>
      <c r="J46" s="1">
        <v>6.8038800000000004</v>
      </c>
      <c r="K46" s="1"/>
      <c r="L46" s="1"/>
      <c r="M46" s="1">
        <v>3.628736</v>
      </c>
      <c r="N46" s="1">
        <v>5.8966960000000004</v>
      </c>
      <c r="O46" s="1"/>
      <c r="P46" s="1"/>
      <c r="Q46" s="12">
        <v>5.1029099999999996</v>
      </c>
      <c r="R46" s="1">
        <v>5.4431039999999999</v>
      </c>
      <c r="S46" s="1">
        <v>4.7627160000000002</v>
      </c>
      <c r="T46" s="1"/>
      <c r="U46" s="1"/>
      <c r="V46" s="1"/>
      <c r="W46" s="1">
        <f t="shared" si="37"/>
        <v>6.25</v>
      </c>
      <c r="X46" s="1">
        <v>6.25</v>
      </c>
      <c r="Y46" s="1">
        <v>6.25</v>
      </c>
      <c r="Z46" s="1"/>
      <c r="AA46" s="1"/>
      <c r="AB46" s="1"/>
      <c r="AC46" s="1"/>
      <c r="AD46" s="1"/>
      <c r="AE46" s="1">
        <f t="shared" si="31"/>
        <v>5.1029099999999996</v>
      </c>
      <c r="AF46" s="1">
        <f t="shared" si="34"/>
        <v>6.25</v>
      </c>
      <c r="AG46" s="1">
        <f t="shared" si="29"/>
        <v>5.6764549999999998</v>
      </c>
      <c r="AH46" s="1">
        <v>15</v>
      </c>
      <c r="AI46" s="1">
        <v>19</v>
      </c>
      <c r="AJ46" s="1"/>
      <c r="AK46" s="1"/>
      <c r="AL46" s="1">
        <v>17</v>
      </c>
      <c r="AM46" s="1"/>
      <c r="AN46" s="1"/>
      <c r="AO46" s="1"/>
      <c r="AP46" s="1"/>
      <c r="AQ46" s="1">
        <f t="shared" si="32"/>
        <v>17</v>
      </c>
      <c r="AR46" s="1"/>
      <c r="AS46" s="12">
        <f t="shared" si="30"/>
        <v>17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>
        <v>5</v>
      </c>
      <c r="BK46" s="1">
        <v>2</v>
      </c>
      <c r="BL46" s="1"/>
      <c r="BM46" s="1"/>
      <c r="BN46" s="12">
        <f t="shared" ref="BN46:BN77" si="38">AVERAGE(AT46:BK46)</f>
        <v>3.5</v>
      </c>
      <c r="BO46" s="1"/>
      <c r="BP46" s="1"/>
      <c r="BQ46" s="1"/>
      <c r="BR46" s="1">
        <v>213</v>
      </c>
      <c r="BS46" s="1"/>
      <c r="BT46" s="1"/>
      <c r="BU46" s="1"/>
      <c r="BV46" s="1">
        <v>214</v>
      </c>
      <c r="BW46" s="1">
        <v>212</v>
      </c>
      <c r="BX46" s="1"/>
      <c r="BY46" s="1">
        <f t="shared" si="35"/>
        <v>213</v>
      </c>
      <c r="BZ46" s="1">
        <f t="shared" si="36"/>
        <v>0.21299999999999999</v>
      </c>
      <c r="CA46" s="1">
        <f t="shared" si="26"/>
        <v>213</v>
      </c>
      <c r="CB46" s="12">
        <f t="shared" si="27"/>
        <v>0.21299999999999999</v>
      </c>
      <c r="CC46" s="13">
        <f t="shared" si="28"/>
        <v>0.74549999999999994</v>
      </c>
      <c r="CD46" s="6"/>
      <c r="CE46" s="6"/>
      <c r="CF46" s="6"/>
      <c r="CG46" s="6"/>
      <c r="CH46" s="6"/>
      <c r="CI46" s="6"/>
      <c r="CJ46" s="13">
        <f t="shared" si="33"/>
        <v>2295.7323943661968</v>
      </c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</row>
    <row r="47" spans="1:160" x14ac:dyDescent="0.3">
      <c r="A47" s="6" t="s">
        <v>98</v>
      </c>
      <c r="B47" s="10" t="s">
        <v>98</v>
      </c>
      <c r="C47" s="10" t="s">
        <v>99</v>
      </c>
      <c r="D47" s="6" t="s">
        <v>99</v>
      </c>
      <c r="E47" s="7">
        <v>3.628736</v>
      </c>
      <c r="F47" s="7">
        <v>5.4431039999999999</v>
      </c>
      <c r="G47" s="7">
        <v>2</v>
      </c>
      <c r="H47" s="7">
        <v>5.5</v>
      </c>
      <c r="I47" s="1"/>
      <c r="J47" s="1"/>
      <c r="K47" s="1"/>
      <c r="L47" s="1"/>
      <c r="M47" s="1"/>
      <c r="N47" s="1"/>
      <c r="O47" s="1"/>
      <c r="P47" s="1"/>
      <c r="Q47" s="12">
        <v>4.53592</v>
      </c>
      <c r="R47" s="1"/>
      <c r="S47" s="1"/>
      <c r="T47" s="1">
        <v>3.75</v>
      </c>
      <c r="U47" s="1"/>
      <c r="V47" s="1"/>
      <c r="W47" s="1">
        <f t="shared" si="37"/>
        <v>4.5</v>
      </c>
      <c r="X47" s="1">
        <v>4.5</v>
      </c>
      <c r="Y47" s="1"/>
      <c r="Z47" s="1"/>
      <c r="AA47" s="1"/>
      <c r="AB47" s="1"/>
      <c r="AC47" s="1"/>
      <c r="AD47" s="1"/>
      <c r="AE47" s="1">
        <f t="shared" si="31"/>
        <v>4.1429600000000004</v>
      </c>
      <c r="AF47" s="1">
        <f t="shared" si="34"/>
        <v>4.5</v>
      </c>
      <c r="AG47" s="1">
        <f t="shared" si="29"/>
        <v>4.3214800000000002</v>
      </c>
      <c r="AH47" s="1">
        <v>13</v>
      </c>
      <c r="AI47" s="1">
        <v>18</v>
      </c>
      <c r="AJ47" s="1">
        <v>12</v>
      </c>
      <c r="AK47" s="1">
        <v>13</v>
      </c>
      <c r="AL47" s="1">
        <v>15.5</v>
      </c>
      <c r="AM47" s="1">
        <v>12.5</v>
      </c>
      <c r="AN47" s="1"/>
      <c r="AO47" s="1"/>
      <c r="AP47" s="1"/>
      <c r="AQ47" s="1">
        <f t="shared" si="32"/>
        <v>14</v>
      </c>
      <c r="AR47" s="1"/>
      <c r="AS47" s="12">
        <f t="shared" si="30"/>
        <v>14</v>
      </c>
      <c r="AT47" s="1">
        <v>4</v>
      </c>
      <c r="AU47" s="1"/>
      <c r="AV47" s="1"/>
      <c r="AW47" s="1"/>
      <c r="AX47" s="1"/>
      <c r="AY47" s="1">
        <v>2.5</v>
      </c>
      <c r="AZ47" s="1">
        <v>4.3</v>
      </c>
      <c r="BA47" s="1"/>
      <c r="BB47" s="1"/>
      <c r="BC47" s="1"/>
      <c r="BD47" s="1"/>
      <c r="BE47" s="1">
        <v>3</v>
      </c>
      <c r="BF47" s="1"/>
      <c r="BG47" s="1"/>
      <c r="BH47" s="1"/>
      <c r="BI47" s="1"/>
      <c r="BJ47" s="1"/>
      <c r="BK47" s="1"/>
      <c r="BL47" s="1">
        <f>AVERAGE(AT47:AU47)</f>
        <v>4</v>
      </c>
      <c r="BM47" s="1">
        <f t="shared" ref="BM47:BM59" si="39">AVERAGE(AV47:BI47)</f>
        <v>3.2666666666666671</v>
      </c>
      <c r="BN47" s="12">
        <f t="shared" si="38"/>
        <v>3.45</v>
      </c>
      <c r="BO47" s="1"/>
      <c r="BP47" s="1"/>
      <c r="BQ47" s="1"/>
      <c r="BR47" s="1">
        <v>208</v>
      </c>
      <c r="BS47" s="1"/>
      <c r="BT47" s="1">
        <v>155</v>
      </c>
      <c r="BU47" s="1"/>
      <c r="BV47" s="1">
        <v>208</v>
      </c>
      <c r="BW47" s="1"/>
      <c r="BX47" s="1"/>
      <c r="BY47" s="1">
        <f t="shared" si="35"/>
        <v>181.5</v>
      </c>
      <c r="BZ47" s="1">
        <f t="shared" si="36"/>
        <v>0.18149999999999999</v>
      </c>
      <c r="CA47" s="1">
        <f t="shared" si="26"/>
        <v>181.5</v>
      </c>
      <c r="CB47" s="12">
        <f t="shared" si="27"/>
        <v>0.18149999999999999</v>
      </c>
      <c r="CC47" s="13">
        <f t="shared" si="28"/>
        <v>0.62617500000000004</v>
      </c>
      <c r="CD47" s="6"/>
      <c r="CE47" s="6"/>
      <c r="CF47" s="6"/>
      <c r="CG47" s="6"/>
      <c r="CH47" s="6"/>
      <c r="CI47" s="6"/>
      <c r="CJ47" s="13">
        <f t="shared" si="33"/>
        <v>2399.1294765840221</v>
      </c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</row>
    <row r="48" spans="1:160" x14ac:dyDescent="0.3">
      <c r="A48" s="6" t="s">
        <v>100</v>
      </c>
      <c r="B48" s="10" t="s">
        <v>100</v>
      </c>
      <c r="C48" s="10" t="s">
        <v>101</v>
      </c>
      <c r="D48" s="6" t="s">
        <v>101</v>
      </c>
      <c r="E48" s="7">
        <v>7.2574719999999999</v>
      </c>
      <c r="F48" s="7">
        <v>14.514944</v>
      </c>
      <c r="G48" s="7">
        <v>5</v>
      </c>
      <c r="H48" s="7">
        <v>14.5</v>
      </c>
      <c r="I48" s="1"/>
      <c r="J48" s="1"/>
      <c r="K48" s="1"/>
      <c r="L48" s="1"/>
      <c r="M48" s="1"/>
      <c r="N48" s="1"/>
      <c r="O48" s="1"/>
      <c r="P48" s="1"/>
      <c r="Q48" s="12">
        <v>10.886208</v>
      </c>
      <c r="R48" s="1"/>
      <c r="S48" s="1"/>
      <c r="T48" s="1">
        <v>9.75</v>
      </c>
      <c r="U48" s="1"/>
      <c r="V48" s="1"/>
      <c r="W48" s="1">
        <f t="shared" si="37"/>
        <v>10.88</v>
      </c>
      <c r="X48" s="1">
        <v>10.88</v>
      </c>
      <c r="Y48" s="1"/>
      <c r="Z48" s="1"/>
      <c r="AA48" s="1">
        <v>9</v>
      </c>
      <c r="AB48" s="1"/>
      <c r="AC48" s="1"/>
      <c r="AD48" s="1">
        <v>8.6199999999999992</v>
      </c>
      <c r="AE48" s="1">
        <f t="shared" si="31"/>
        <v>10.318104</v>
      </c>
      <c r="AF48" s="1">
        <f t="shared" si="34"/>
        <v>9.5</v>
      </c>
      <c r="AG48" s="1">
        <f t="shared" si="29"/>
        <v>9.9090519999999991</v>
      </c>
      <c r="AH48" s="1">
        <v>12</v>
      </c>
      <c r="AI48" s="1">
        <v>16</v>
      </c>
      <c r="AJ48" s="1">
        <v>12</v>
      </c>
      <c r="AK48" s="1">
        <v>15</v>
      </c>
      <c r="AL48" s="1">
        <v>14</v>
      </c>
      <c r="AM48" s="1">
        <v>13.5</v>
      </c>
      <c r="AN48" s="1"/>
      <c r="AO48" s="1"/>
      <c r="AP48" s="1">
        <v>12.2</v>
      </c>
      <c r="AQ48" s="1">
        <f t="shared" si="32"/>
        <v>13.75</v>
      </c>
      <c r="AR48" s="1">
        <f t="shared" ref="AR48:AR53" si="40">AVERAGE(AN48:AP48)</f>
        <v>12.2</v>
      </c>
      <c r="AS48" s="12">
        <f t="shared" si="30"/>
        <v>12.975</v>
      </c>
      <c r="AT48" s="1"/>
      <c r="AU48" s="1"/>
      <c r="AV48" s="1"/>
      <c r="AW48" s="1"/>
      <c r="AX48" s="1"/>
      <c r="AY48" s="1"/>
      <c r="AZ48" s="1">
        <v>5.4</v>
      </c>
      <c r="BA48" s="1"/>
      <c r="BB48" s="1"/>
      <c r="BC48" s="1"/>
      <c r="BD48" s="1"/>
      <c r="BE48" s="1">
        <v>4</v>
      </c>
      <c r="BF48" s="1"/>
      <c r="BG48" s="1"/>
      <c r="BH48" s="1"/>
      <c r="BI48" s="1"/>
      <c r="BJ48" s="1"/>
      <c r="BK48" s="1"/>
      <c r="BL48" s="1"/>
      <c r="BM48" s="1">
        <f t="shared" si="39"/>
        <v>4.7</v>
      </c>
      <c r="BN48" s="12">
        <f t="shared" si="38"/>
        <v>4.7</v>
      </c>
      <c r="BO48" s="1"/>
      <c r="BP48" s="1"/>
      <c r="BQ48" s="1"/>
      <c r="BR48" s="1">
        <v>227</v>
      </c>
      <c r="BS48" s="1"/>
      <c r="BT48" s="1">
        <v>173</v>
      </c>
      <c r="BU48" s="1"/>
      <c r="BV48" s="1">
        <v>227</v>
      </c>
      <c r="BW48" s="1"/>
      <c r="BX48" s="1"/>
      <c r="BY48" s="1">
        <f t="shared" si="35"/>
        <v>200</v>
      </c>
      <c r="BZ48" s="1">
        <f t="shared" si="36"/>
        <v>0.2</v>
      </c>
      <c r="CA48" s="1">
        <f t="shared" si="26"/>
        <v>200</v>
      </c>
      <c r="CB48" s="12">
        <f t="shared" si="27"/>
        <v>0.2</v>
      </c>
      <c r="CC48" s="13">
        <f t="shared" si="28"/>
        <v>0.94000000000000006</v>
      </c>
      <c r="CD48" s="6"/>
      <c r="CE48" s="6"/>
      <c r="CF48" s="6"/>
      <c r="CG48" s="6"/>
      <c r="CH48" s="6"/>
      <c r="CI48" s="6"/>
      <c r="CJ48" s="13">
        <f t="shared" si="33"/>
        <v>5343.1040000000003</v>
      </c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</row>
    <row r="49" spans="1:160" x14ac:dyDescent="0.3">
      <c r="A49" s="6" t="s">
        <v>102</v>
      </c>
      <c r="B49" s="10" t="s">
        <v>102</v>
      </c>
      <c r="C49" s="10" t="s">
        <v>103</v>
      </c>
      <c r="D49" s="6" t="s">
        <v>103</v>
      </c>
      <c r="E49" s="7">
        <v>20.411639999999998</v>
      </c>
      <c r="F49" s="7">
        <v>31.751439999999999</v>
      </c>
      <c r="G49" s="7">
        <v>23</v>
      </c>
      <c r="H49" s="7">
        <v>25</v>
      </c>
      <c r="I49" s="1"/>
      <c r="J49" s="1"/>
      <c r="K49" s="1"/>
      <c r="L49" s="1"/>
      <c r="M49" s="1"/>
      <c r="N49" s="1"/>
      <c r="O49" s="1"/>
      <c r="P49" s="1"/>
      <c r="Q49" s="12">
        <v>26.08154</v>
      </c>
      <c r="R49" s="1"/>
      <c r="S49" s="1"/>
      <c r="T49" s="1">
        <v>24</v>
      </c>
      <c r="U49" s="1"/>
      <c r="V49" s="1"/>
      <c r="W49" s="1">
        <f t="shared" si="37"/>
        <v>23.36</v>
      </c>
      <c r="X49" s="1">
        <v>23.36</v>
      </c>
      <c r="Y49" s="1"/>
      <c r="Z49" s="1"/>
      <c r="AA49" s="1">
        <v>25</v>
      </c>
      <c r="AB49" s="1"/>
      <c r="AC49" s="1"/>
      <c r="AD49" s="1">
        <v>24.95</v>
      </c>
      <c r="AE49" s="1">
        <f t="shared" si="31"/>
        <v>25.040769999999998</v>
      </c>
      <c r="AF49" s="1">
        <f t="shared" si="34"/>
        <v>24.436666666666667</v>
      </c>
      <c r="AG49" s="1">
        <f t="shared" si="29"/>
        <v>24.738718333333331</v>
      </c>
      <c r="AH49" s="1">
        <v>11</v>
      </c>
      <c r="AI49" s="1">
        <v>13</v>
      </c>
      <c r="AJ49" s="1">
        <v>12</v>
      </c>
      <c r="AK49" s="1">
        <v>14</v>
      </c>
      <c r="AL49" s="1">
        <v>12</v>
      </c>
      <c r="AM49" s="1">
        <v>13</v>
      </c>
      <c r="AN49" s="1"/>
      <c r="AO49" s="1">
        <v>13.3</v>
      </c>
      <c r="AP49" s="1">
        <v>13</v>
      </c>
      <c r="AQ49" s="1">
        <f t="shared" si="32"/>
        <v>12.5</v>
      </c>
      <c r="AR49" s="1">
        <f t="shared" si="40"/>
        <v>13.15</v>
      </c>
      <c r="AS49" s="12">
        <f t="shared" si="30"/>
        <v>12.933333333333332</v>
      </c>
      <c r="AT49" s="1"/>
      <c r="AU49" s="1"/>
      <c r="AV49" s="1"/>
      <c r="AW49" s="1"/>
      <c r="AX49" s="1"/>
      <c r="AY49" s="1"/>
      <c r="AZ49" s="1">
        <v>8.4</v>
      </c>
      <c r="BA49" s="1"/>
      <c r="BB49" s="1"/>
      <c r="BC49" s="1"/>
      <c r="BD49" s="1"/>
      <c r="BE49" s="1">
        <v>9</v>
      </c>
      <c r="BF49" s="1"/>
      <c r="BG49" s="1"/>
      <c r="BH49" s="1"/>
      <c r="BI49" s="1"/>
      <c r="BJ49" s="1"/>
      <c r="BK49" s="1"/>
      <c r="BL49" s="1"/>
      <c r="BM49" s="1">
        <f t="shared" si="39"/>
        <v>8.6999999999999993</v>
      </c>
      <c r="BN49" s="12">
        <f t="shared" si="38"/>
        <v>8.6999999999999993</v>
      </c>
      <c r="BO49" s="1"/>
      <c r="BP49" s="1"/>
      <c r="BQ49" s="1"/>
      <c r="BR49" s="1">
        <v>404</v>
      </c>
      <c r="BS49" s="1"/>
      <c r="BT49" s="1">
        <v>368</v>
      </c>
      <c r="BU49" s="1"/>
      <c r="BV49" s="1">
        <v>404</v>
      </c>
      <c r="BW49" s="1"/>
      <c r="BX49" s="1"/>
      <c r="BY49" s="1">
        <f t="shared" si="35"/>
        <v>386</v>
      </c>
      <c r="BZ49" s="1">
        <f t="shared" si="36"/>
        <v>0.38600000000000001</v>
      </c>
      <c r="CA49" s="1">
        <f t="shared" si="26"/>
        <v>386</v>
      </c>
      <c r="CB49" s="12">
        <f t="shared" si="27"/>
        <v>0.38600000000000001</v>
      </c>
      <c r="CC49" s="13">
        <f t="shared" si="28"/>
        <v>3.3581999999999996</v>
      </c>
      <c r="CD49" s="6"/>
      <c r="CE49" s="6"/>
      <c r="CF49" s="6"/>
      <c r="CG49" s="6"/>
      <c r="CH49" s="6"/>
      <c r="CI49" s="6"/>
      <c r="CJ49" s="13">
        <f t="shared" si="33"/>
        <v>6656.8756476683948</v>
      </c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</row>
    <row r="50" spans="1:160" x14ac:dyDescent="0.3">
      <c r="A50" s="6" t="s">
        <v>104</v>
      </c>
      <c r="B50" s="10" t="s">
        <v>104</v>
      </c>
      <c r="C50" s="10" t="s">
        <v>105</v>
      </c>
      <c r="D50" s="6" t="s">
        <v>105</v>
      </c>
      <c r="E50" s="7"/>
      <c r="F50" s="7"/>
      <c r="G50" s="7">
        <v>45.5</v>
      </c>
      <c r="H50" s="7">
        <v>55</v>
      </c>
      <c r="I50" s="1">
        <v>63.502879999999998</v>
      </c>
      <c r="J50" s="1">
        <v>79.378600000000006</v>
      </c>
      <c r="K50" s="1"/>
      <c r="L50" s="1"/>
      <c r="M50" s="1">
        <v>49.895119999999999</v>
      </c>
      <c r="N50" s="1">
        <v>63.502879999999998</v>
      </c>
      <c r="O50" s="1"/>
      <c r="P50" s="1"/>
      <c r="Q50" s="12">
        <v>64.069869999999995</v>
      </c>
      <c r="R50" s="1">
        <v>71.440740000000005</v>
      </c>
      <c r="S50" s="1">
        <v>56.698999999999998</v>
      </c>
      <c r="T50" s="1">
        <v>50.25</v>
      </c>
      <c r="U50" s="1"/>
      <c r="V50" s="1"/>
      <c r="W50" s="1">
        <f t="shared" si="37"/>
        <v>72</v>
      </c>
      <c r="X50" s="1">
        <v>72</v>
      </c>
      <c r="Y50" s="1"/>
      <c r="Z50" s="1">
        <v>62.8</v>
      </c>
      <c r="AA50" s="1">
        <v>73</v>
      </c>
      <c r="AB50" s="1"/>
      <c r="AC50" s="1">
        <v>51.1</v>
      </c>
      <c r="AD50" s="1">
        <v>45.36</v>
      </c>
      <c r="AE50" s="1">
        <f t="shared" si="31"/>
        <v>59.46324666666667</v>
      </c>
      <c r="AF50" s="1">
        <f t="shared" si="34"/>
        <v>60.852000000000011</v>
      </c>
      <c r="AG50" s="1">
        <f t="shared" si="29"/>
        <v>60.157623333333341</v>
      </c>
      <c r="AH50" s="1">
        <v>7</v>
      </c>
      <c r="AI50" s="1">
        <v>10</v>
      </c>
      <c r="AJ50" s="1">
        <v>7</v>
      </c>
      <c r="AK50" s="1">
        <v>9</v>
      </c>
      <c r="AL50" s="1">
        <v>8.5</v>
      </c>
      <c r="AM50" s="1">
        <v>8</v>
      </c>
      <c r="AN50" s="1"/>
      <c r="AO50" s="1">
        <v>6</v>
      </c>
      <c r="AP50" s="1">
        <v>8.4</v>
      </c>
      <c r="AQ50" s="1">
        <f t="shared" si="32"/>
        <v>8.25</v>
      </c>
      <c r="AR50" s="1">
        <f t="shared" si="40"/>
        <v>7.2</v>
      </c>
      <c r="AS50" s="12">
        <f t="shared" si="30"/>
        <v>7.55</v>
      </c>
      <c r="AT50" s="1"/>
      <c r="AU50" s="1"/>
      <c r="AV50" s="1"/>
      <c r="AW50" s="1"/>
      <c r="AX50" s="1"/>
      <c r="AY50" s="1">
        <v>11</v>
      </c>
      <c r="AZ50" s="1">
        <v>7.1</v>
      </c>
      <c r="BA50" s="1"/>
      <c r="BB50" s="1"/>
      <c r="BC50" s="1"/>
      <c r="BD50" s="1"/>
      <c r="BE50" s="1">
        <v>10</v>
      </c>
      <c r="BF50" s="1"/>
      <c r="BG50" s="1"/>
      <c r="BH50" s="1"/>
      <c r="BI50" s="1"/>
      <c r="BJ50" s="1"/>
      <c r="BK50" s="1"/>
      <c r="BL50" s="1"/>
      <c r="BM50" s="1">
        <f t="shared" si="39"/>
        <v>9.3666666666666671</v>
      </c>
      <c r="BN50" s="12">
        <f t="shared" si="38"/>
        <v>9.3666666666666671</v>
      </c>
      <c r="BO50" s="1"/>
      <c r="BP50" s="1"/>
      <c r="BQ50" s="1"/>
      <c r="BR50" s="1">
        <v>625</v>
      </c>
      <c r="BS50" s="1"/>
      <c r="BT50" s="1">
        <v>647</v>
      </c>
      <c r="BU50" s="1"/>
      <c r="BV50" s="1">
        <v>625</v>
      </c>
      <c r="BW50" s="1"/>
      <c r="BX50" s="1"/>
      <c r="BY50" s="1">
        <f t="shared" si="35"/>
        <v>636</v>
      </c>
      <c r="BZ50" s="1">
        <f t="shared" si="36"/>
        <v>0.63600000000000001</v>
      </c>
      <c r="CA50" s="1">
        <f t="shared" si="26"/>
        <v>636</v>
      </c>
      <c r="CB50" s="12">
        <f t="shared" si="27"/>
        <v>0.63600000000000001</v>
      </c>
      <c r="CC50" s="13">
        <f t="shared" si="28"/>
        <v>5.9572000000000003</v>
      </c>
      <c r="CD50" s="6">
        <v>13.5</v>
      </c>
      <c r="CE50" s="6"/>
      <c r="CF50" s="6">
        <f>AVERAGE(CD50:CE50)</f>
        <v>13.5</v>
      </c>
      <c r="CG50" s="6">
        <v>52.1</v>
      </c>
      <c r="CH50" s="6"/>
      <c r="CI50" s="6">
        <v>52.1</v>
      </c>
      <c r="CJ50" s="13">
        <f t="shared" si="33"/>
        <v>9973.8789308176074</v>
      </c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</row>
    <row r="51" spans="1:160" x14ac:dyDescent="0.3">
      <c r="A51" s="6" t="s">
        <v>106</v>
      </c>
      <c r="B51" s="10" t="s">
        <v>106</v>
      </c>
      <c r="C51" s="10" t="s">
        <v>107</v>
      </c>
      <c r="D51" s="6" t="s">
        <v>107</v>
      </c>
      <c r="E51" s="7"/>
      <c r="F51" s="7"/>
      <c r="G51" s="7"/>
      <c r="H51" s="7"/>
      <c r="I51" s="1"/>
      <c r="J51" s="1"/>
      <c r="K51" s="1">
        <v>50</v>
      </c>
      <c r="L51" s="1"/>
      <c r="M51" s="1"/>
      <c r="N51" s="1"/>
      <c r="O51" s="1">
        <v>45</v>
      </c>
      <c r="P51" s="1"/>
      <c r="Q51" s="12"/>
      <c r="R51" s="1"/>
      <c r="S51" s="1"/>
      <c r="T51" s="1">
        <v>47.5</v>
      </c>
      <c r="U51" s="1">
        <v>50</v>
      </c>
      <c r="V51" s="1">
        <v>45</v>
      </c>
      <c r="W51" s="1"/>
      <c r="X51" s="1"/>
      <c r="Y51" s="1"/>
      <c r="Z51" s="1"/>
      <c r="AA51" s="1"/>
      <c r="AB51" s="1"/>
      <c r="AC51" s="1"/>
      <c r="AD51" s="1"/>
      <c r="AE51" s="1">
        <f t="shared" si="31"/>
        <v>47.5</v>
      </c>
      <c r="AF51" s="1"/>
      <c r="AG51" s="1">
        <f t="shared" si="29"/>
        <v>47.5</v>
      </c>
      <c r="AH51" s="1">
        <v>5</v>
      </c>
      <c r="AI51" s="1">
        <v>8</v>
      </c>
      <c r="AJ51" s="1"/>
      <c r="AK51" s="1"/>
      <c r="AL51" s="1">
        <v>6.5</v>
      </c>
      <c r="AM51" s="1"/>
      <c r="AN51" s="1"/>
      <c r="AO51" s="1">
        <v>5.5</v>
      </c>
      <c r="AP51" s="1"/>
      <c r="AQ51" s="1">
        <f t="shared" si="32"/>
        <v>6.5</v>
      </c>
      <c r="AR51" s="1">
        <f t="shared" si="40"/>
        <v>5.5</v>
      </c>
      <c r="AS51" s="12">
        <f t="shared" si="30"/>
        <v>6</v>
      </c>
      <c r="AT51" s="1"/>
      <c r="AU51" s="1"/>
      <c r="AV51" s="1"/>
      <c r="AW51" s="1"/>
      <c r="AX51" s="1"/>
      <c r="AY51" s="1"/>
      <c r="AZ51" s="1">
        <v>8.1</v>
      </c>
      <c r="BA51" s="1"/>
      <c r="BB51" s="1"/>
      <c r="BC51" s="1"/>
      <c r="BD51" s="1"/>
      <c r="BE51" s="1">
        <v>8</v>
      </c>
      <c r="BF51" s="1"/>
      <c r="BG51" s="1"/>
      <c r="BH51" s="1"/>
      <c r="BI51" s="1"/>
      <c r="BJ51" s="1"/>
      <c r="BK51" s="1"/>
      <c r="BL51" s="1"/>
      <c r="BM51" s="1">
        <f t="shared" si="39"/>
        <v>8.0500000000000007</v>
      </c>
      <c r="BN51" s="12">
        <f t="shared" si="38"/>
        <v>8.0500000000000007</v>
      </c>
      <c r="BO51" s="1"/>
      <c r="BP51" s="1"/>
      <c r="BQ51" s="1"/>
      <c r="BR51" s="1"/>
      <c r="BS51" s="1"/>
      <c r="BT51" s="1">
        <v>565</v>
      </c>
      <c r="BU51" s="1"/>
      <c r="BV51" s="1"/>
      <c r="BW51" s="1"/>
      <c r="BX51" s="1"/>
      <c r="BY51" s="1">
        <f t="shared" si="35"/>
        <v>565</v>
      </c>
      <c r="BZ51" s="1">
        <f t="shared" si="36"/>
        <v>0.56499999999999995</v>
      </c>
      <c r="CA51" s="1">
        <f t="shared" si="26"/>
        <v>565</v>
      </c>
      <c r="CB51" s="12">
        <f t="shared" si="27"/>
        <v>0.56499999999999995</v>
      </c>
      <c r="CC51" s="13">
        <f t="shared" si="28"/>
        <v>4.5482500000000003</v>
      </c>
      <c r="CD51" s="6"/>
      <c r="CE51" s="6"/>
      <c r="CF51" s="6"/>
      <c r="CG51" s="6"/>
      <c r="CH51" s="6"/>
      <c r="CI51" s="6"/>
      <c r="CJ51" s="13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</row>
    <row r="52" spans="1:160" x14ac:dyDescent="0.3">
      <c r="A52" s="6" t="s">
        <v>108</v>
      </c>
      <c r="B52" s="10" t="s">
        <v>108</v>
      </c>
      <c r="C52" s="10" t="s">
        <v>109</v>
      </c>
      <c r="D52" s="6" t="s">
        <v>110</v>
      </c>
      <c r="E52" s="7"/>
      <c r="F52" s="7"/>
      <c r="G52" s="7"/>
      <c r="H52" s="7"/>
      <c r="I52" s="1">
        <v>38.555320000000002</v>
      </c>
      <c r="J52" s="1">
        <v>49.895119999999999</v>
      </c>
      <c r="K52" s="1">
        <v>38.5</v>
      </c>
      <c r="L52" s="1">
        <v>50</v>
      </c>
      <c r="M52" s="1">
        <v>34.019399999999997</v>
      </c>
      <c r="N52" s="1">
        <v>43.091239999999999</v>
      </c>
      <c r="O52" s="1">
        <v>34</v>
      </c>
      <c r="P52" s="1">
        <v>43</v>
      </c>
      <c r="Q52" s="12">
        <v>41.390270000000001</v>
      </c>
      <c r="R52" s="1">
        <v>44.22522</v>
      </c>
      <c r="S52" s="1">
        <v>38.555320000000002</v>
      </c>
      <c r="T52" s="1">
        <v>41.375</v>
      </c>
      <c r="U52" s="1">
        <v>44.25</v>
      </c>
      <c r="V52" s="1">
        <v>38.5</v>
      </c>
      <c r="W52" s="1"/>
      <c r="X52" s="1"/>
      <c r="Y52" s="1"/>
      <c r="Z52" s="1"/>
      <c r="AA52" s="1"/>
      <c r="AB52" s="1"/>
      <c r="AC52" s="1"/>
      <c r="AD52" s="1"/>
      <c r="AE52" s="1">
        <f t="shared" si="31"/>
        <v>41.382635000000001</v>
      </c>
      <c r="AF52" s="1"/>
      <c r="AG52" s="1">
        <f t="shared" si="29"/>
        <v>41.382635000000001</v>
      </c>
      <c r="AH52" s="1">
        <v>8</v>
      </c>
      <c r="AI52" s="1">
        <v>11</v>
      </c>
      <c r="AJ52" s="1">
        <v>8</v>
      </c>
      <c r="AK52" s="1">
        <v>11</v>
      </c>
      <c r="AL52" s="1">
        <v>9.5</v>
      </c>
      <c r="AM52" s="1">
        <v>9.5</v>
      </c>
      <c r="AN52" s="1"/>
      <c r="AO52" s="1"/>
      <c r="AP52" s="1">
        <v>9.5</v>
      </c>
      <c r="AQ52" s="1">
        <f t="shared" si="32"/>
        <v>9.5</v>
      </c>
      <c r="AR52" s="1">
        <f t="shared" si="40"/>
        <v>9.5</v>
      </c>
      <c r="AS52" s="12">
        <f t="shared" si="30"/>
        <v>9.5</v>
      </c>
      <c r="AT52" s="1"/>
      <c r="AU52" s="1"/>
      <c r="AV52" s="1"/>
      <c r="AW52" s="1"/>
      <c r="AX52" s="1"/>
      <c r="AY52" s="1"/>
      <c r="AZ52" s="1">
        <v>8</v>
      </c>
      <c r="BA52" s="1"/>
      <c r="BB52" s="1"/>
      <c r="BC52" s="1"/>
      <c r="BD52" s="1"/>
      <c r="BE52" s="1">
        <v>6</v>
      </c>
      <c r="BF52" s="1"/>
      <c r="BG52" s="1"/>
      <c r="BH52" s="1"/>
      <c r="BI52" s="1"/>
      <c r="BJ52" s="1"/>
      <c r="BK52" s="1"/>
      <c r="BL52" s="1"/>
      <c r="BM52" s="1">
        <f t="shared" si="39"/>
        <v>7</v>
      </c>
      <c r="BN52" s="12">
        <f t="shared" si="38"/>
        <v>7</v>
      </c>
      <c r="BO52" s="1"/>
      <c r="BP52" s="1"/>
      <c r="BQ52" s="1"/>
      <c r="BR52" s="1"/>
      <c r="BS52" s="1"/>
      <c r="BT52" s="1">
        <v>480</v>
      </c>
      <c r="BU52" s="1"/>
      <c r="BV52" s="1"/>
      <c r="BW52" s="1"/>
      <c r="BX52" s="1"/>
      <c r="BY52" s="1">
        <f t="shared" si="35"/>
        <v>480</v>
      </c>
      <c r="BZ52" s="1">
        <f t="shared" si="36"/>
        <v>0.48</v>
      </c>
      <c r="CA52" s="1">
        <f t="shared" si="26"/>
        <v>480</v>
      </c>
      <c r="CB52" s="12">
        <f t="shared" si="27"/>
        <v>0.48</v>
      </c>
      <c r="CC52" s="13">
        <f t="shared" si="28"/>
        <v>3.36</v>
      </c>
      <c r="CD52" s="6"/>
      <c r="CE52" s="6"/>
      <c r="CF52" s="6"/>
      <c r="CG52" s="6"/>
      <c r="CH52" s="6"/>
      <c r="CI52" s="6"/>
      <c r="CJ52" s="13">
        <f>((Q52-CB52)/CB52)*100</f>
        <v>8522.9729166666675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</row>
    <row r="53" spans="1:160" x14ac:dyDescent="0.3">
      <c r="A53" s="6" t="s">
        <v>111</v>
      </c>
      <c r="B53" s="10" t="s">
        <v>111</v>
      </c>
      <c r="C53" s="10" t="s">
        <v>112</v>
      </c>
      <c r="D53" s="6" t="s">
        <v>113</v>
      </c>
      <c r="E53" s="7"/>
      <c r="F53" s="7"/>
      <c r="G53" s="7"/>
      <c r="H53" s="7"/>
      <c r="I53" s="1">
        <v>34.019399999999997</v>
      </c>
      <c r="J53" s="1">
        <v>45.359200000000001</v>
      </c>
      <c r="K53" s="1">
        <v>30</v>
      </c>
      <c r="L53" s="1">
        <v>36.5</v>
      </c>
      <c r="M53" s="1">
        <v>27.215520000000001</v>
      </c>
      <c r="N53" s="1">
        <v>40.823279999999997</v>
      </c>
      <c r="O53" s="1">
        <v>30</v>
      </c>
      <c r="P53" s="1">
        <v>34</v>
      </c>
      <c r="Q53" s="12">
        <v>36.854349999999997</v>
      </c>
      <c r="R53" s="1">
        <v>39.689300000000003</v>
      </c>
      <c r="S53" s="1">
        <v>34.019399999999997</v>
      </c>
      <c r="T53" s="1">
        <v>32.625</v>
      </c>
      <c r="U53" s="1">
        <v>33.25</v>
      </c>
      <c r="V53" s="1">
        <v>32</v>
      </c>
      <c r="W53" s="1">
        <f>AVERAGE(X53:Y53)</f>
        <v>35</v>
      </c>
      <c r="X53" s="1">
        <v>35</v>
      </c>
      <c r="Y53" s="1"/>
      <c r="Z53" s="1"/>
      <c r="AA53" s="1">
        <v>35</v>
      </c>
      <c r="AB53" s="1"/>
      <c r="AC53" s="1"/>
      <c r="AD53" s="1">
        <v>20.41</v>
      </c>
      <c r="AE53" s="1">
        <f t="shared" si="31"/>
        <v>34.739674999999998</v>
      </c>
      <c r="AF53" s="1">
        <f>AVERAGE(X53:AD53)</f>
        <v>30.136666666666667</v>
      </c>
      <c r="AG53" s="1">
        <f t="shared" si="29"/>
        <v>32.438170833333331</v>
      </c>
      <c r="AH53" s="1">
        <v>10</v>
      </c>
      <c r="AI53" s="1">
        <v>12</v>
      </c>
      <c r="AJ53" s="1">
        <v>13</v>
      </c>
      <c r="AK53" s="1"/>
      <c r="AL53" s="1">
        <v>11</v>
      </c>
      <c r="AM53" s="1">
        <v>13</v>
      </c>
      <c r="AN53" s="1"/>
      <c r="AO53" s="1">
        <v>9.1999999999999993</v>
      </c>
      <c r="AP53" s="1">
        <v>9.8000000000000007</v>
      </c>
      <c r="AQ53" s="1">
        <f t="shared" si="32"/>
        <v>11.666666666666666</v>
      </c>
      <c r="AR53" s="1">
        <f t="shared" si="40"/>
        <v>9.5</v>
      </c>
      <c r="AS53" s="12">
        <f t="shared" si="30"/>
        <v>10.222222222222221</v>
      </c>
      <c r="AT53" s="1"/>
      <c r="AU53" s="1"/>
      <c r="AV53" s="1"/>
      <c r="AW53" s="1"/>
      <c r="AX53" s="1"/>
      <c r="AY53" s="1">
        <v>9</v>
      </c>
      <c r="AZ53" s="1">
        <v>7</v>
      </c>
      <c r="BA53" s="1"/>
      <c r="BB53" s="1"/>
      <c r="BC53" s="1"/>
      <c r="BD53" s="1"/>
      <c r="BE53" s="1">
        <v>9</v>
      </c>
      <c r="BF53" s="1"/>
      <c r="BG53" s="1"/>
      <c r="BH53" s="1"/>
      <c r="BI53" s="1"/>
      <c r="BJ53" s="1"/>
      <c r="BK53" s="1"/>
      <c r="BL53" s="1"/>
      <c r="BM53" s="1">
        <f t="shared" si="39"/>
        <v>8.3333333333333339</v>
      </c>
      <c r="BN53" s="12">
        <f t="shared" si="38"/>
        <v>8.3333333333333339</v>
      </c>
      <c r="BO53" s="1"/>
      <c r="BP53" s="1"/>
      <c r="BQ53" s="1"/>
      <c r="BR53" s="1">
        <v>312</v>
      </c>
      <c r="BS53" s="1"/>
      <c r="BT53" s="1">
        <v>457</v>
      </c>
      <c r="BU53" s="1"/>
      <c r="BV53" s="1">
        <v>312</v>
      </c>
      <c r="BW53" s="1"/>
      <c r="BX53" s="1"/>
      <c r="BY53" s="1">
        <f t="shared" si="35"/>
        <v>384.5</v>
      </c>
      <c r="BZ53" s="1">
        <f t="shared" si="36"/>
        <v>0.38450000000000001</v>
      </c>
      <c r="CA53" s="1">
        <f t="shared" si="26"/>
        <v>384.5</v>
      </c>
      <c r="CB53" s="12">
        <f t="shared" si="27"/>
        <v>0.38450000000000001</v>
      </c>
      <c r="CC53" s="13">
        <f t="shared" si="28"/>
        <v>3.2041666666666671</v>
      </c>
      <c r="CD53" s="6"/>
      <c r="CE53" s="6"/>
      <c r="CF53" s="6"/>
      <c r="CG53" s="6"/>
      <c r="CH53" s="6"/>
      <c r="CI53" s="6"/>
      <c r="CJ53" s="13">
        <f>((Q53-CB53)/CB53)*100</f>
        <v>9485.0065019505837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</row>
    <row r="54" spans="1:160" x14ac:dyDescent="0.3">
      <c r="A54" s="6" t="s">
        <v>114</v>
      </c>
      <c r="B54" s="10" t="s">
        <v>114</v>
      </c>
      <c r="C54" s="10" t="s">
        <v>115</v>
      </c>
      <c r="D54" s="6" t="s">
        <v>115</v>
      </c>
      <c r="E54" s="7"/>
      <c r="F54" s="7"/>
      <c r="G54" s="7"/>
      <c r="H54" s="7"/>
      <c r="I54" s="1">
        <v>12.700576</v>
      </c>
      <c r="J54" s="1">
        <v>15.422128000000001</v>
      </c>
      <c r="K54" s="1">
        <v>13</v>
      </c>
      <c r="L54" s="1">
        <v>15.5</v>
      </c>
      <c r="M54" s="1">
        <v>11.793392000000001</v>
      </c>
      <c r="N54" s="1">
        <v>14.514944</v>
      </c>
      <c r="O54" s="1">
        <v>12</v>
      </c>
      <c r="P54" s="1">
        <v>14.5</v>
      </c>
      <c r="Q54" s="12">
        <v>13.607760000000001</v>
      </c>
      <c r="R54" s="1">
        <v>14.061351999999999</v>
      </c>
      <c r="S54" s="1">
        <v>13.154168</v>
      </c>
      <c r="T54" s="1">
        <v>13.75</v>
      </c>
      <c r="U54" s="1">
        <v>14.25</v>
      </c>
      <c r="V54" s="1">
        <v>13.25</v>
      </c>
      <c r="W54" s="1">
        <f>AVERAGE(X54:Y54)</f>
        <v>14.5</v>
      </c>
      <c r="X54" s="1">
        <v>14.5</v>
      </c>
      <c r="Y54" s="1"/>
      <c r="Z54" s="1"/>
      <c r="AA54" s="1"/>
      <c r="AB54" s="1"/>
      <c r="AC54" s="1"/>
      <c r="AD54" s="1"/>
      <c r="AE54" s="1">
        <f t="shared" si="31"/>
        <v>13.678879999999999</v>
      </c>
      <c r="AF54" s="1">
        <f>AVERAGE(X54:AD54)</f>
        <v>14.5</v>
      </c>
      <c r="AG54" s="1">
        <f t="shared" si="29"/>
        <v>14.08944</v>
      </c>
      <c r="AH54" s="1">
        <v>12</v>
      </c>
      <c r="AI54" s="1">
        <v>14</v>
      </c>
      <c r="AJ54" s="1">
        <v>12</v>
      </c>
      <c r="AK54" s="1">
        <v>15</v>
      </c>
      <c r="AL54" s="1">
        <v>13</v>
      </c>
      <c r="AM54" s="1">
        <v>13.5</v>
      </c>
      <c r="AN54" s="1"/>
      <c r="AO54" s="1"/>
      <c r="AP54" s="1"/>
      <c r="AQ54" s="1">
        <f t="shared" si="32"/>
        <v>13.25</v>
      </c>
      <c r="AR54" s="1"/>
      <c r="AS54" s="12">
        <f t="shared" si="30"/>
        <v>13.25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>
        <v>5</v>
      </c>
      <c r="BF54" s="1"/>
      <c r="BG54" s="1"/>
      <c r="BH54" s="1"/>
      <c r="BI54" s="1"/>
      <c r="BJ54" s="1"/>
      <c r="BK54" s="1"/>
      <c r="BL54" s="1"/>
      <c r="BM54" s="1">
        <f t="shared" si="39"/>
        <v>5</v>
      </c>
      <c r="BN54" s="12">
        <f t="shared" si="38"/>
        <v>5</v>
      </c>
      <c r="BO54" s="1"/>
      <c r="BP54" s="1"/>
      <c r="BQ54" s="1"/>
      <c r="BR54" s="1">
        <v>313</v>
      </c>
      <c r="BS54" s="1"/>
      <c r="BT54" s="1">
        <v>287.5</v>
      </c>
      <c r="BU54" s="1"/>
      <c r="BV54" s="1">
        <v>313</v>
      </c>
      <c r="BW54" s="1"/>
      <c r="BX54" s="1"/>
      <c r="BY54" s="1">
        <f t="shared" si="35"/>
        <v>300.25</v>
      </c>
      <c r="BZ54" s="1">
        <f t="shared" si="36"/>
        <v>0.30025000000000002</v>
      </c>
      <c r="CA54" s="1">
        <f t="shared" si="26"/>
        <v>300.25</v>
      </c>
      <c r="CB54" s="12">
        <f t="shared" si="27"/>
        <v>0.30025000000000002</v>
      </c>
      <c r="CC54" s="13">
        <f t="shared" si="28"/>
        <v>1.5012500000000002</v>
      </c>
      <c r="CD54" s="6"/>
      <c r="CE54" s="6"/>
      <c r="CF54" s="6"/>
      <c r="CG54" s="6"/>
      <c r="CH54" s="6"/>
      <c r="CI54" s="6"/>
      <c r="CJ54" s="13">
        <f>((Q54-CB54)/CB54)*100</f>
        <v>4432.1432139883427</v>
      </c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</row>
    <row r="55" spans="1:160" x14ac:dyDescent="0.3">
      <c r="A55" s="6" t="s">
        <v>116</v>
      </c>
      <c r="B55" s="10" t="s">
        <v>116</v>
      </c>
      <c r="C55" s="10" t="s">
        <v>117</v>
      </c>
      <c r="D55" s="6" t="s">
        <v>117</v>
      </c>
      <c r="E55" s="7"/>
      <c r="F55" s="7"/>
      <c r="G55" s="7"/>
      <c r="H55" s="7"/>
      <c r="I55" s="1">
        <v>29.48348</v>
      </c>
      <c r="J55" s="1">
        <v>36.28736</v>
      </c>
      <c r="K55" s="1">
        <v>29.5</v>
      </c>
      <c r="L55" s="1">
        <v>36.5</v>
      </c>
      <c r="M55" s="1">
        <v>20.411639999999998</v>
      </c>
      <c r="N55" s="1">
        <v>24.947559999999999</v>
      </c>
      <c r="O55" s="1">
        <v>27</v>
      </c>
      <c r="P55" s="1">
        <v>29.5</v>
      </c>
      <c r="Q55" s="12">
        <v>27.782509999999998</v>
      </c>
      <c r="R55" s="1">
        <v>32.885420000000003</v>
      </c>
      <c r="S55" s="1">
        <v>22.679600000000001</v>
      </c>
      <c r="T55" s="1">
        <v>30.625</v>
      </c>
      <c r="U55" s="1">
        <v>33</v>
      </c>
      <c r="V55" s="1">
        <v>28.25</v>
      </c>
      <c r="W55" s="1">
        <f>AVERAGE(X55:Y55)</f>
        <v>30.5</v>
      </c>
      <c r="X55" s="1">
        <v>30.5</v>
      </c>
      <c r="Y55" s="1"/>
      <c r="Z55" s="1"/>
      <c r="AA55" s="1">
        <v>31</v>
      </c>
      <c r="AB55" s="1">
        <v>27.78</v>
      </c>
      <c r="AC55" s="1"/>
      <c r="AD55" s="1"/>
      <c r="AE55" s="1">
        <f t="shared" si="31"/>
        <v>29.203755000000001</v>
      </c>
      <c r="AF55" s="1">
        <f>AVERAGE(X55:AD55)</f>
        <v>29.76</v>
      </c>
      <c r="AG55" s="1">
        <f t="shared" si="29"/>
        <v>29.481877500000003</v>
      </c>
      <c r="AH55" s="1">
        <v>12</v>
      </c>
      <c r="AI55" s="1">
        <v>12</v>
      </c>
      <c r="AJ55" s="1">
        <v>11</v>
      </c>
      <c r="AK55" s="1">
        <v>12</v>
      </c>
      <c r="AL55" s="1">
        <v>12</v>
      </c>
      <c r="AM55" s="1">
        <v>11.5</v>
      </c>
      <c r="AN55" s="1"/>
      <c r="AO55" s="1"/>
      <c r="AP55" s="1">
        <v>11.2</v>
      </c>
      <c r="AQ55" s="1">
        <f t="shared" si="32"/>
        <v>11.75</v>
      </c>
      <c r="AR55" s="1">
        <f>AVERAGE(AN55:AP55)</f>
        <v>11.2</v>
      </c>
      <c r="AS55" s="12">
        <f t="shared" si="30"/>
        <v>11.475</v>
      </c>
      <c r="AT55" s="1"/>
      <c r="AU55" s="1"/>
      <c r="AV55" s="1"/>
      <c r="AW55" s="1"/>
      <c r="AX55" s="1"/>
      <c r="AY55" s="1"/>
      <c r="AZ55" s="1">
        <v>4.9000000000000004</v>
      </c>
      <c r="BA55" s="1"/>
      <c r="BB55" s="1"/>
      <c r="BC55" s="1"/>
      <c r="BD55" s="1"/>
      <c r="BE55" s="1">
        <v>6</v>
      </c>
      <c r="BF55" s="1"/>
      <c r="BG55" s="1">
        <v>5.2</v>
      </c>
      <c r="BH55" s="1"/>
      <c r="BI55" s="1"/>
      <c r="BJ55" s="1"/>
      <c r="BK55" s="1"/>
      <c r="BL55" s="1"/>
      <c r="BM55" s="1">
        <f t="shared" si="39"/>
        <v>5.3666666666666671</v>
      </c>
      <c r="BN55" s="12">
        <f t="shared" si="38"/>
        <v>5.3666666666666671</v>
      </c>
      <c r="BO55" s="1"/>
      <c r="BP55" s="1"/>
      <c r="BQ55" s="1"/>
      <c r="BR55" s="1">
        <v>482</v>
      </c>
      <c r="BS55" s="1"/>
      <c r="BT55" s="1">
        <v>389.5</v>
      </c>
      <c r="BU55" s="1"/>
      <c r="BV55" s="1">
        <v>482</v>
      </c>
      <c r="BW55" s="1"/>
      <c r="BX55" s="1"/>
      <c r="BY55" s="1">
        <f t="shared" si="35"/>
        <v>435.75</v>
      </c>
      <c r="BZ55" s="1">
        <f t="shared" si="36"/>
        <v>0.43575000000000003</v>
      </c>
      <c r="CA55" s="1">
        <f t="shared" si="26"/>
        <v>435.75</v>
      </c>
      <c r="CB55" s="12">
        <f t="shared" si="27"/>
        <v>0.43575000000000003</v>
      </c>
      <c r="CC55" s="13">
        <f t="shared" si="28"/>
        <v>2.3385250000000002</v>
      </c>
      <c r="CD55" s="6"/>
      <c r="CE55" s="6"/>
      <c r="CF55" s="6"/>
      <c r="CG55" s="6"/>
      <c r="CH55" s="6"/>
      <c r="CI55" s="6"/>
      <c r="CJ55" s="13">
        <f>((Q55-CB55)/CB55)*100</f>
        <v>6275.7911646586344</v>
      </c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</row>
    <row r="56" spans="1:160" x14ac:dyDescent="0.3">
      <c r="A56" s="6" t="s">
        <v>118</v>
      </c>
      <c r="B56" s="10" t="s">
        <v>118</v>
      </c>
      <c r="C56" s="10" t="s">
        <v>119</v>
      </c>
      <c r="D56" s="6" t="s">
        <v>119</v>
      </c>
      <c r="E56" s="7"/>
      <c r="F56" s="7"/>
      <c r="G56" s="7"/>
      <c r="H56" s="7"/>
      <c r="I56" s="1"/>
      <c r="J56" s="1"/>
      <c r="K56" s="1">
        <v>23</v>
      </c>
      <c r="L56" s="1"/>
      <c r="M56" s="1"/>
      <c r="N56" s="1"/>
      <c r="O56" s="1">
        <v>18</v>
      </c>
      <c r="P56" s="1"/>
      <c r="Q56" s="12"/>
      <c r="R56" s="1"/>
      <c r="S56" s="1"/>
      <c r="T56" s="1">
        <v>20.5</v>
      </c>
      <c r="U56" s="1">
        <v>23</v>
      </c>
      <c r="V56" s="1">
        <v>18</v>
      </c>
      <c r="W56" s="1">
        <f>AVERAGE(X56:Y56)</f>
        <v>22.5</v>
      </c>
      <c r="X56" s="1">
        <v>22.5</v>
      </c>
      <c r="Y56" s="1"/>
      <c r="Z56" s="1"/>
      <c r="AA56" s="1">
        <v>23</v>
      </c>
      <c r="AB56" s="1"/>
      <c r="AC56" s="1">
        <v>14.8</v>
      </c>
      <c r="AD56" s="1">
        <v>19.05</v>
      </c>
      <c r="AE56" s="1">
        <f t="shared" si="31"/>
        <v>20.5</v>
      </c>
      <c r="AF56" s="1">
        <f>AVERAGE(X56:AD56)</f>
        <v>19.837499999999999</v>
      </c>
      <c r="AG56" s="1">
        <f t="shared" si="29"/>
        <v>20.168749999999999</v>
      </c>
      <c r="AH56" s="1">
        <v>12</v>
      </c>
      <c r="AI56" s="1">
        <v>14</v>
      </c>
      <c r="AJ56" s="1">
        <v>12</v>
      </c>
      <c r="AK56" s="1">
        <v>15</v>
      </c>
      <c r="AL56" s="1">
        <v>13</v>
      </c>
      <c r="AM56" s="1">
        <v>13.5</v>
      </c>
      <c r="AN56" s="1"/>
      <c r="AO56" s="1">
        <v>13.3</v>
      </c>
      <c r="AP56" s="1">
        <v>13</v>
      </c>
      <c r="AQ56" s="1">
        <f t="shared" si="32"/>
        <v>13.25</v>
      </c>
      <c r="AR56" s="1">
        <f>AVERAGE(AN56:AP56)</f>
        <v>13.15</v>
      </c>
      <c r="AS56" s="12">
        <f t="shared" si="30"/>
        <v>13.183333333333332</v>
      </c>
      <c r="AT56" s="1"/>
      <c r="AU56" s="1"/>
      <c r="AV56" s="1"/>
      <c r="AW56" s="1"/>
      <c r="AX56" s="1"/>
      <c r="AY56" s="1"/>
      <c r="AZ56" s="1">
        <v>7.3</v>
      </c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>
        <f t="shared" si="39"/>
        <v>7.3</v>
      </c>
      <c r="BN56" s="12">
        <f t="shared" si="38"/>
        <v>7.3</v>
      </c>
      <c r="BO56" s="1"/>
      <c r="BP56" s="1"/>
      <c r="BQ56" s="1"/>
      <c r="BR56" s="1">
        <v>300</v>
      </c>
      <c r="BS56" s="1"/>
      <c r="BT56" s="1"/>
      <c r="BU56" s="1"/>
      <c r="BV56" s="1">
        <v>300</v>
      </c>
      <c r="BW56" s="1"/>
      <c r="BX56" s="1"/>
      <c r="BY56" s="1">
        <f t="shared" si="35"/>
        <v>300</v>
      </c>
      <c r="BZ56" s="1">
        <f t="shared" si="36"/>
        <v>0.3</v>
      </c>
      <c r="CA56" s="1">
        <f t="shared" si="26"/>
        <v>300</v>
      </c>
      <c r="CB56" s="12">
        <f t="shared" si="27"/>
        <v>0.3</v>
      </c>
      <c r="CC56" s="13">
        <f t="shared" si="28"/>
        <v>2.19</v>
      </c>
      <c r="CD56" s="6">
        <v>18.3</v>
      </c>
      <c r="CE56" s="6"/>
      <c r="CF56" s="6">
        <f>AVERAGE(CD56:CE56)</f>
        <v>18.3</v>
      </c>
      <c r="CG56" s="6">
        <v>39.4</v>
      </c>
      <c r="CH56" s="6"/>
      <c r="CI56" s="6">
        <v>39.4</v>
      </c>
      <c r="CJ56" s="13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</row>
    <row r="57" spans="1:160" x14ac:dyDescent="0.3">
      <c r="A57" s="6" t="s">
        <v>120</v>
      </c>
      <c r="B57" s="10" t="s">
        <v>120</v>
      </c>
      <c r="C57" s="10" t="s">
        <v>121</v>
      </c>
      <c r="D57" s="6" t="s">
        <v>121</v>
      </c>
      <c r="E57" s="7">
        <v>18.14368</v>
      </c>
      <c r="F57" s="7">
        <v>31.751439999999999</v>
      </c>
      <c r="G57" s="7"/>
      <c r="H57" s="7"/>
      <c r="I57" s="1"/>
      <c r="J57" s="1"/>
      <c r="K57" s="1"/>
      <c r="L57" s="1"/>
      <c r="M57" s="1"/>
      <c r="N57" s="1"/>
      <c r="O57" s="1"/>
      <c r="P57" s="1"/>
      <c r="Q57" s="12">
        <v>24.947559999999999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>
        <f t="shared" si="31"/>
        <v>24.947559999999999</v>
      </c>
      <c r="AF57" s="1"/>
      <c r="AG57" s="1">
        <f t="shared" si="29"/>
        <v>24.947559999999999</v>
      </c>
      <c r="AH57" s="1">
        <v>12</v>
      </c>
      <c r="AI57" s="1">
        <v>16</v>
      </c>
      <c r="AJ57" s="1"/>
      <c r="AK57" s="1"/>
      <c r="AL57" s="1">
        <v>14</v>
      </c>
      <c r="AM57" s="1"/>
      <c r="AN57" s="1"/>
      <c r="AO57" s="1"/>
      <c r="AP57" s="1"/>
      <c r="AQ57" s="1">
        <f t="shared" si="32"/>
        <v>14</v>
      </c>
      <c r="AR57" s="1"/>
      <c r="AS57" s="12">
        <f t="shared" si="30"/>
        <v>14</v>
      </c>
      <c r="AT57" s="1"/>
      <c r="AU57" s="1"/>
      <c r="AV57" s="1"/>
      <c r="AW57" s="1"/>
      <c r="AX57" s="1"/>
      <c r="AY57" s="1"/>
      <c r="AZ57" s="1">
        <v>6.7</v>
      </c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>
        <f t="shared" si="39"/>
        <v>6.7</v>
      </c>
      <c r="BN57" s="12">
        <f t="shared" si="38"/>
        <v>6.7</v>
      </c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2"/>
      <c r="CC57" s="13">
        <f t="shared" si="28"/>
        <v>0</v>
      </c>
      <c r="CD57" s="6"/>
      <c r="CE57" s="6"/>
      <c r="CF57" s="6"/>
      <c r="CG57" s="6"/>
      <c r="CH57" s="6"/>
      <c r="CI57" s="6"/>
      <c r="CJ57" s="13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</row>
    <row r="58" spans="1:160" x14ac:dyDescent="0.3">
      <c r="A58" s="6" t="s">
        <v>122</v>
      </c>
      <c r="B58" s="10" t="s">
        <v>122</v>
      </c>
      <c r="C58" s="10" t="s">
        <v>123</v>
      </c>
      <c r="D58" s="6" t="s">
        <v>124</v>
      </c>
      <c r="E58" s="7">
        <v>12.700576</v>
      </c>
      <c r="F58" s="7">
        <v>12.700576</v>
      </c>
      <c r="G58" s="7"/>
      <c r="H58" s="7">
        <v>12.5</v>
      </c>
      <c r="I58" s="1"/>
      <c r="J58" s="1"/>
      <c r="K58" s="1"/>
      <c r="L58" s="1"/>
      <c r="M58" s="1"/>
      <c r="N58" s="1"/>
      <c r="O58" s="1"/>
      <c r="P58" s="1"/>
      <c r="Q58" s="12">
        <v>12.700576</v>
      </c>
      <c r="R58" s="1"/>
      <c r="S58" s="1"/>
      <c r="T58" s="1">
        <v>12.5</v>
      </c>
      <c r="U58" s="1"/>
      <c r="V58" s="1"/>
      <c r="W58" s="1">
        <f>AVERAGE(X58:Y58)</f>
        <v>9.98</v>
      </c>
      <c r="X58" s="1">
        <v>9.98</v>
      </c>
      <c r="Y58" s="1"/>
      <c r="Z58" s="1"/>
      <c r="AA58" s="1"/>
      <c r="AB58" s="1"/>
      <c r="AC58" s="1"/>
      <c r="AD58" s="1"/>
      <c r="AE58" s="1">
        <f t="shared" si="31"/>
        <v>12.633717333333331</v>
      </c>
      <c r="AF58" s="1">
        <f>AVERAGE(X58:AD58)</f>
        <v>9.98</v>
      </c>
      <c r="AG58" s="1">
        <f t="shared" si="29"/>
        <v>11.306858666666667</v>
      </c>
      <c r="AH58" s="1">
        <v>10</v>
      </c>
      <c r="AI58" s="1">
        <v>12</v>
      </c>
      <c r="AJ58" s="1">
        <v>11</v>
      </c>
      <c r="AK58" s="1">
        <v>12</v>
      </c>
      <c r="AL58" s="1">
        <v>11</v>
      </c>
      <c r="AM58" s="1">
        <v>11.5</v>
      </c>
      <c r="AN58" s="1"/>
      <c r="AO58" s="1"/>
      <c r="AP58" s="1"/>
      <c r="AQ58" s="1">
        <f t="shared" si="32"/>
        <v>11.25</v>
      </c>
      <c r="AR58" s="1"/>
      <c r="AS58" s="12">
        <f t="shared" si="30"/>
        <v>11.25</v>
      </c>
      <c r="AT58" s="1"/>
      <c r="AU58" s="1"/>
      <c r="AV58" s="1"/>
      <c r="AW58" s="1"/>
      <c r="AX58" s="1"/>
      <c r="AY58" s="1">
        <v>6</v>
      </c>
      <c r="AZ58" s="1">
        <v>4.7</v>
      </c>
      <c r="BA58" s="1"/>
      <c r="BB58" s="1"/>
      <c r="BC58" s="1"/>
      <c r="BD58" s="1"/>
      <c r="BE58" s="1"/>
      <c r="BF58" s="1"/>
      <c r="BG58" s="1"/>
      <c r="BH58" s="1">
        <v>4.17</v>
      </c>
      <c r="BI58" s="1"/>
      <c r="BJ58" s="1"/>
      <c r="BK58" s="1"/>
      <c r="BL58" s="1"/>
      <c r="BM58" s="1">
        <f t="shared" si="39"/>
        <v>4.9566666666666661</v>
      </c>
      <c r="BN58" s="12">
        <f t="shared" si="38"/>
        <v>4.9566666666666661</v>
      </c>
      <c r="BO58" s="1"/>
      <c r="BP58" s="1"/>
      <c r="BQ58" s="1"/>
      <c r="BR58" s="1">
        <v>255</v>
      </c>
      <c r="BS58" s="1"/>
      <c r="BT58" s="1"/>
      <c r="BU58" s="1"/>
      <c r="BV58" s="1">
        <v>255</v>
      </c>
      <c r="BW58" s="1"/>
      <c r="BX58" s="1"/>
      <c r="BY58" s="1">
        <f>AVERAGE(BR58:BU58)</f>
        <v>255</v>
      </c>
      <c r="BZ58" s="1">
        <f>BY58/1000</f>
        <v>0.255</v>
      </c>
      <c r="CA58" s="1">
        <f>AVERAGE(BQ58:BU58)</f>
        <v>255</v>
      </c>
      <c r="CB58" s="12">
        <f>CA58/1000</f>
        <v>0.255</v>
      </c>
      <c r="CC58" s="13">
        <f t="shared" si="28"/>
        <v>1.2639499999999999</v>
      </c>
      <c r="CD58" s="6"/>
      <c r="CE58" s="6"/>
      <c r="CF58" s="6"/>
      <c r="CG58" s="6"/>
      <c r="CH58" s="6"/>
      <c r="CI58" s="6"/>
      <c r="CJ58" s="13">
        <f>((Q58-CB58)/CB58)*100</f>
        <v>4880.6180392156857</v>
      </c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</row>
    <row r="59" spans="1:160" x14ac:dyDescent="0.3">
      <c r="A59" s="6" t="s">
        <v>125</v>
      </c>
      <c r="B59" s="10" t="s">
        <v>125</v>
      </c>
      <c r="C59" s="10" t="s">
        <v>126</v>
      </c>
      <c r="D59" s="6" t="s">
        <v>126</v>
      </c>
      <c r="E59" s="7">
        <v>27.215520000000001</v>
      </c>
      <c r="F59" s="7">
        <v>31.751439999999999</v>
      </c>
      <c r="G59" s="7">
        <v>27</v>
      </c>
      <c r="H59" s="7">
        <v>36.5</v>
      </c>
      <c r="I59" s="1"/>
      <c r="J59" s="1"/>
      <c r="K59" s="1"/>
      <c r="L59" s="1"/>
      <c r="M59" s="1"/>
      <c r="N59" s="1"/>
      <c r="O59" s="1"/>
      <c r="P59" s="1"/>
      <c r="Q59" s="12">
        <v>29.48348</v>
      </c>
      <c r="R59" s="1"/>
      <c r="S59" s="1"/>
      <c r="T59" s="1">
        <v>31.75</v>
      </c>
      <c r="U59" s="1"/>
      <c r="V59" s="1"/>
      <c r="W59" s="1">
        <f>AVERAGE(X59:Y59)</f>
        <v>29.5</v>
      </c>
      <c r="X59" s="1">
        <v>29.5</v>
      </c>
      <c r="Y59" s="1">
        <v>29.5</v>
      </c>
      <c r="Z59" s="1"/>
      <c r="AA59" s="1"/>
      <c r="AB59" s="1">
        <v>32.659999999999997</v>
      </c>
      <c r="AC59" s="1"/>
      <c r="AD59" s="1"/>
      <c r="AE59" s="1">
        <f t="shared" si="31"/>
        <v>30.61674</v>
      </c>
      <c r="AF59" s="1">
        <f>AVERAGE(X59:AD59)</f>
        <v>30.553333333333331</v>
      </c>
      <c r="AG59" s="1">
        <f t="shared" si="29"/>
        <v>30.585036666666667</v>
      </c>
      <c r="AH59" s="1">
        <v>8</v>
      </c>
      <c r="AI59" s="1">
        <v>10</v>
      </c>
      <c r="AJ59" s="1">
        <v>12</v>
      </c>
      <c r="AK59" s="1">
        <v>14</v>
      </c>
      <c r="AL59" s="1">
        <v>9</v>
      </c>
      <c r="AM59" s="1">
        <v>13</v>
      </c>
      <c r="AN59" s="1"/>
      <c r="AO59" s="1"/>
      <c r="AP59" s="1">
        <v>9.5</v>
      </c>
      <c r="AQ59" s="1">
        <f t="shared" si="32"/>
        <v>11</v>
      </c>
      <c r="AR59" s="1">
        <f>AVERAGE(AN59:AP59)</f>
        <v>9.5</v>
      </c>
      <c r="AS59" s="12">
        <f t="shared" si="30"/>
        <v>10.25</v>
      </c>
      <c r="AT59" s="1"/>
      <c r="AU59" s="1"/>
      <c r="AV59" s="1"/>
      <c r="AW59" s="1"/>
      <c r="AX59" s="1"/>
      <c r="AY59" s="1"/>
      <c r="AZ59" s="1">
        <v>8.3000000000000007</v>
      </c>
      <c r="BA59" s="1"/>
      <c r="BB59" s="1"/>
      <c r="BC59" s="1"/>
      <c r="BD59" s="1"/>
      <c r="BE59" s="1"/>
      <c r="BF59" s="1"/>
      <c r="BG59" s="1"/>
      <c r="BH59" s="1"/>
      <c r="BI59" s="1">
        <f>BO59+BP59</f>
        <v>7.57</v>
      </c>
      <c r="BJ59" s="1"/>
      <c r="BK59" s="1"/>
      <c r="BL59" s="1"/>
      <c r="BM59" s="1">
        <f t="shared" si="39"/>
        <v>7.9350000000000005</v>
      </c>
      <c r="BN59" s="12">
        <f t="shared" si="38"/>
        <v>7.9350000000000005</v>
      </c>
      <c r="BO59" s="1">
        <v>3.89</v>
      </c>
      <c r="BP59" s="1">
        <v>3.68</v>
      </c>
      <c r="BQ59" s="1"/>
      <c r="BR59" s="1">
        <v>288</v>
      </c>
      <c r="BS59" s="1"/>
      <c r="BT59" s="1"/>
      <c r="BU59" s="1"/>
      <c r="BV59" s="1">
        <v>284</v>
      </c>
      <c r="BW59" s="1">
        <v>292</v>
      </c>
      <c r="BX59" s="1"/>
      <c r="BY59" s="1">
        <f>AVERAGE(BR59:BU59)</f>
        <v>288</v>
      </c>
      <c r="BZ59" s="1">
        <f>BY59/1000</f>
        <v>0.28799999999999998</v>
      </c>
      <c r="CA59" s="1">
        <f>AVERAGE(BQ59:BU59)</f>
        <v>288</v>
      </c>
      <c r="CB59" s="12">
        <f>CA59/1000</f>
        <v>0.28799999999999998</v>
      </c>
      <c r="CC59" s="13">
        <f t="shared" si="28"/>
        <v>2.2852799999999998</v>
      </c>
      <c r="CD59" s="6"/>
      <c r="CE59" s="6"/>
      <c r="CF59" s="6"/>
      <c r="CG59" s="6"/>
      <c r="CH59" s="6"/>
      <c r="CI59" s="6"/>
      <c r="CJ59" s="13">
        <f>((Q59-CB59)/CB59)*100</f>
        <v>10137.319444444445</v>
      </c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</row>
    <row r="60" spans="1:160" x14ac:dyDescent="0.3">
      <c r="A60" s="6" t="s">
        <v>127</v>
      </c>
      <c r="B60" s="10" t="s">
        <v>127</v>
      </c>
      <c r="C60" s="10" t="s">
        <v>128</v>
      </c>
      <c r="D60" s="6" t="s">
        <v>128</v>
      </c>
      <c r="E60" s="7">
        <v>15.875719999999999</v>
      </c>
      <c r="F60" s="7">
        <v>22.679600000000001</v>
      </c>
      <c r="G60" s="7">
        <v>16</v>
      </c>
      <c r="H60" s="7">
        <v>23</v>
      </c>
      <c r="I60" s="1"/>
      <c r="J60" s="1"/>
      <c r="K60" s="1"/>
      <c r="L60" s="1"/>
      <c r="M60" s="1"/>
      <c r="N60" s="1"/>
      <c r="O60" s="1"/>
      <c r="P60" s="1"/>
      <c r="Q60" s="12">
        <v>19.277660000000001</v>
      </c>
      <c r="R60" s="1"/>
      <c r="S60" s="1"/>
      <c r="T60" s="1">
        <v>19.5</v>
      </c>
      <c r="U60" s="1"/>
      <c r="V60" s="1"/>
      <c r="W60" s="1">
        <f>AVERAGE(X60:Y60)</f>
        <v>19.25</v>
      </c>
      <c r="X60" s="1">
        <v>19.25</v>
      </c>
      <c r="Y60" s="1"/>
      <c r="Z60" s="1"/>
      <c r="AA60" s="1"/>
      <c r="AB60" s="1"/>
      <c r="AC60" s="1"/>
      <c r="AD60" s="1"/>
      <c r="AE60" s="1">
        <f t="shared" si="31"/>
        <v>19.388829999999999</v>
      </c>
      <c r="AF60" s="1">
        <f>AVERAGE(X60:AD60)</f>
        <v>19.25</v>
      </c>
      <c r="AG60" s="1">
        <f t="shared" si="29"/>
        <v>19.319414999999999</v>
      </c>
      <c r="AH60" s="1">
        <v>12</v>
      </c>
      <c r="AI60" s="1">
        <v>13</v>
      </c>
      <c r="AJ60" s="1">
        <v>10</v>
      </c>
      <c r="AK60" s="1">
        <v>12</v>
      </c>
      <c r="AL60" s="1">
        <v>12.5</v>
      </c>
      <c r="AM60" s="1">
        <v>11</v>
      </c>
      <c r="AN60" s="1"/>
      <c r="AO60" s="1"/>
      <c r="AP60" s="1"/>
      <c r="AQ60" s="1">
        <f t="shared" si="32"/>
        <v>11.75</v>
      </c>
      <c r="AR60" s="1"/>
      <c r="AS60" s="12">
        <f t="shared" si="30"/>
        <v>11.75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>
        <v>5</v>
      </c>
      <c r="BK60" s="1">
        <v>5</v>
      </c>
      <c r="BL60" s="1"/>
      <c r="BM60" s="1"/>
      <c r="BN60" s="12">
        <f t="shared" si="38"/>
        <v>5</v>
      </c>
      <c r="BO60" s="1"/>
      <c r="BP60" s="1"/>
      <c r="BQ60" s="1"/>
      <c r="BR60" s="1">
        <v>283</v>
      </c>
      <c r="BS60" s="1"/>
      <c r="BT60" s="1"/>
      <c r="BU60" s="1"/>
      <c r="BV60" s="1">
        <v>283</v>
      </c>
      <c r="BW60" s="1"/>
      <c r="BX60" s="1"/>
      <c r="BY60" s="1">
        <f>AVERAGE(BR60:BU60)</f>
        <v>283</v>
      </c>
      <c r="BZ60" s="1">
        <f>BY60/1000</f>
        <v>0.28299999999999997</v>
      </c>
      <c r="CA60" s="1">
        <f>AVERAGE(BQ60:BU60)</f>
        <v>283</v>
      </c>
      <c r="CB60" s="12">
        <f>CA60/1000</f>
        <v>0.28299999999999997</v>
      </c>
      <c r="CC60" s="13">
        <f t="shared" si="28"/>
        <v>1.4149999999999998</v>
      </c>
      <c r="CD60" s="6"/>
      <c r="CE60" s="6"/>
      <c r="CF60" s="6"/>
      <c r="CG60" s="6"/>
      <c r="CH60" s="6"/>
      <c r="CI60" s="6"/>
      <c r="CJ60" s="13">
        <f>((Q60-CB60)/CB60)*100</f>
        <v>6711.8939929328635</v>
      </c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</row>
    <row r="61" spans="1:160" x14ac:dyDescent="0.3">
      <c r="A61" s="6" t="s">
        <v>129</v>
      </c>
      <c r="B61" s="10" t="s">
        <v>129</v>
      </c>
      <c r="C61" s="10" t="s">
        <v>130</v>
      </c>
      <c r="D61" s="6" t="s">
        <v>130</v>
      </c>
      <c r="E61" s="7"/>
      <c r="F61" s="7"/>
      <c r="G61" s="7">
        <v>14</v>
      </c>
      <c r="H61" s="7">
        <v>16</v>
      </c>
      <c r="I61" s="1">
        <v>11.3398</v>
      </c>
      <c r="J61" s="1">
        <v>14.968536</v>
      </c>
      <c r="K61" s="1"/>
      <c r="L61" s="1"/>
      <c r="M61" s="1">
        <v>9.0718399999999999</v>
      </c>
      <c r="N61" s="1">
        <v>12.700576</v>
      </c>
      <c r="O61" s="1"/>
      <c r="P61" s="1"/>
      <c r="Q61" s="12">
        <v>12.020187999999999</v>
      </c>
      <c r="R61" s="1">
        <v>13.154168</v>
      </c>
      <c r="S61" s="1">
        <v>10.886208</v>
      </c>
      <c r="T61" s="1">
        <v>15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>
        <f t="shared" si="31"/>
        <v>13.013458666666665</v>
      </c>
      <c r="AF61" s="1"/>
      <c r="AG61" s="1">
        <f t="shared" si="29"/>
        <v>13.013458666666665</v>
      </c>
      <c r="AH61" s="1">
        <v>13</v>
      </c>
      <c r="AI61" s="1">
        <v>15</v>
      </c>
      <c r="AJ61" s="1">
        <v>12</v>
      </c>
      <c r="AK61" s="1">
        <v>15</v>
      </c>
      <c r="AL61" s="1">
        <v>14</v>
      </c>
      <c r="AM61" s="1">
        <v>13.5</v>
      </c>
      <c r="AN61" s="1"/>
      <c r="AO61" s="1"/>
      <c r="AP61" s="1"/>
      <c r="AQ61" s="1">
        <f t="shared" si="32"/>
        <v>13.75</v>
      </c>
      <c r="AR61" s="1"/>
      <c r="AS61" s="12">
        <f t="shared" si="30"/>
        <v>13.75</v>
      </c>
      <c r="AT61" s="1"/>
      <c r="AU61" s="1"/>
      <c r="AV61" s="1"/>
      <c r="AW61" s="1"/>
      <c r="AX61" s="1"/>
      <c r="AY61" s="1"/>
      <c r="AZ61" s="1">
        <v>3.7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>
        <f>AVERAGE(AV61:BI61)</f>
        <v>3.7</v>
      </c>
      <c r="BN61" s="12">
        <f t="shared" si="38"/>
        <v>3.7</v>
      </c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2"/>
      <c r="CC61" s="13">
        <f t="shared" si="28"/>
        <v>0</v>
      </c>
      <c r="CD61" s="6"/>
      <c r="CE61" s="6"/>
      <c r="CF61" s="6"/>
      <c r="CG61" s="6"/>
      <c r="CH61" s="6"/>
      <c r="CI61" s="6"/>
      <c r="CJ61" s="13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</row>
    <row r="62" spans="1:160" x14ac:dyDescent="0.3">
      <c r="A62" s="6" t="s">
        <v>131</v>
      </c>
      <c r="B62" s="10" t="s">
        <v>131</v>
      </c>
      <c r="C62" s="10" t="s">
        <v>132</v>
      </c>
      <c r="D62" s="6" t="s">
        <v>132</v>
      </c>
      <c r="E62" s="7">
        <v>14.514944</v>
      </c>
      <c r="F62" s="7">
        <v>18.14368</v>
      </c>
      <c r="G62" s="7">
        <v>16</v>
      </c>
      <c r="H62" s="7"/>
      <c r="I62" s="1"/>
      <c r="J62" s="1"/>
      <c r="K62" s="1"/>
      <c r="L62" s="1"/>
      <c r="M62" s="1"/>
      <c r="N62" s="1"/>
      <c r="O62" s="1"/>
      <c r="P62" s="1"/>
      <c r="Q62" s="12">
        <v>16.329312000000002</v>
      </c>
      <c r="R62" s="1"/>
      <c r="S62" s="1"/>
      <c r="T62" s="1">
        <v>16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>
        <f t="shared" si="31"/>
        <v>16.219541333333336</v>
      </c>
      <c r="AF62" s="1"/>
      <c r="AG62" s="1">
        <f t="shared" si="29"/>
        <v>16.219541333333336</v>
      </c>
      <c r="AH62" s="1">
        <v>10</v>
      </c>
      <c r="AI62" s="1">
        <v>15</v>
      </c>
      <c r="AJ62" s="1">
        <v>10</v>
      </c>
      <c r="AK62" s="1">
        <v>15</v>
      </c>
      <c r="AL62" s="1">
        <v>12.5</v>
      </c>
      <c r="AM62" s="1">
        <v>12.5</v>
      </c>
      <c r="AN62" s="1"/>
      <c r="AO62" s="1"/>
      <c r="AP62" s="1"/>
      <c r="AQ62" s="1">
        <f t="shared" si="32"/>
        <v>12.5</v>
      </c>
      <c r="AR62" s="1"/>
      <c r="AS62" s="12">
        <f t="shared" si="30"/>
        <v>12.5</v>
      </c>
      <c r="AT62" s="1">
        <v>5</v>
      </c>
      <c r="AU62" s="1"/>
      <c r="AV62" s="1"/>
      <c r="AW62" s="1"/>
      <c r="AX62" s="1"/>
      <c r="AY62" s="1"/>
      <c r="AZ62" s="1">
        <v>5.3</v>
      </c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>
        <f>AVERAGE(AT62:AU62)</f>
        <v>5</v>
      </c>
      <c r="BM62" s="1">
        <f>AVERAGE(AV62:BI62)</f>
        <v>5.3</v>
      </c>
      <c r="BN62" s="12">
        <f t="shared" si="38"/>
        <v>5.15</v>
      </c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2"/>
      <c r="CC62" s="13">
        <f t="shared" si="28"/>
        <v>0</v>
      </c>
      <c r="CD62" s="6"/>
      <c r="CE62" s="6"/>
      <c r="CF62" s="6"/>
      <c r="CG62" s="6"/>
      <c r="CH62" s="6"/>
      <c r="CI62" s="6"/>
      <c r="CJ62" s="13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</row>
    <row r="63" spans="1:160" x14ac:dyDescent="0.3">
      <c r="A63" s="6" t="s">
        <v>133</v>
      </c>
      <c r="B63" s="10" t="s">
        <v>133</v>
      </c>
      <c r="C63" s="10" t="s">
        <v>134</v>
      </c>
      <c r="D63" s="6" t="s">
        <v>134</v>
      </c>
      <c r="E63" s="7"/>
      <c r="F63" s="7"/>
      <c r="G63" s="7"/>
      <c r="H63" s="7"/>
      <c r="I63" s="1">
        <v>29.48348</v>
      </c>
      <c r="J63" s="1">
        <v>34.019399999999997</v>
      </c>
      <c r="K63" s="1">
        <v>29.5</v>
      </c>
      <c r="L63" s="1">
        <v>34</v>
      </c>
      <c r="M63" s="1">
        <v>24.947559999999999</v>
      </c>
      <c r="N63" s="1">
        <v>29.48348</v>
      </c>
      <c r="O63" s="1">
        <v>25</v>
      </c>
      <c r="P63" s="1">
        <v>29.5</v>
      </c>
      <c r="Q63" s="12">
        <v>29.48348</v>
      </c>
      <c r="R63" s="1">
        <v>31.751439999999999</v>
      </c>
      <c r="S63" s="1">
        <v>27.215520000000001</v>
      </c>
      <c r="T63" s="1">
        <v>29.5</v>
      </c>
      <c r="U63" s="1">
        <v>31.75</v>
      </c>
      <c r="V63" s="1">
        <v>27.25</v>
      </c>
      <c r="W63" s="1">
        <f>AVERAGE(X63:Y63)</f>
        <v>31.75</v>
      </c>
      <c r="X63" s="1">
        <v>31.75</v>
      </c>
      <c r="Y63" s="1"/>
      <c r="Z63" s="1"/>
      <c r="AA63" s="1">
        <v>32</v>
      </c>
      <c r="AB63" s="1">
        <v>31.3</v>
      </c>
      <c r="AC63" s="1"/>
      <c r="AD63" s="1">
        <v>29.48</v>
      </c>
      <c r="AE63" s="1">
        <f t="shared" si="31"/>
        <v>29.49174</v>
      </c>
      <c r="AF63" s="1">
        <f>AVERAGE(X63:AD63)</f>
        <v>31.1325</v>
      </c>
      <c r="AG63" s="1">
        <f t="shared" si="29"/>
        <v>30.31212</v>
      </c>
      <c r="AH63" s="1">
        <v>10</v>
      </c>
      <c r="AI63" s="1">
        <v>12</v>
      </c>
      <c r="AJ63" s="1">
        <v>10</v>
      </c>
      <c r="AK63" s="1">
        <v>15</v>
      </c>
      <c r="AL63" s="1">
        <v>11</v>
      </c>
      <c r="AM63" s="1">
        <v>12.5</v>
      </c>
      <c r="AN63" s="1"/>
      <c r="AO63" s="1">
        <v>12.5</v>
      </c>
      <c r="AP63" s="1">
        <v>12</v>
      </c>
      <c r="AQ63" s="1">
        <f t="shared" si="32"/>
        <v>11.75</v>
      </c>
      <c r="AR63" s="1">
        <f>AVERAGE(AN63:AP63)</f>
        <v>12.25</v>
      </c>
      <c r="AS63" s="12">
        <f t="shared" si="30"/>
        <v>12.083333333333334</v>
      </c>
      <c r="AT63" s="1"/>
      <c r="AU63" s="1"/>
      <c r="AV63" s="1"/>
      <c r="AW63" s="1"/>
      <c r="AX63" s="1"/>
      <c r="AY63" s="1">
        <v>8.33</v>
      </c>
      <c r="AZ63" s="1">
        <v>7.5</v>
      </c>
      <c r="BA63" s="1">
        <v>6.44</v>
      </c>
      <c r="BB63" s="1"/>
      <c r="BC63" s="1"/>
      <c r="BD63" s="1"/>
      <c r="BE63" s="1">
        <v>8</v>
      </c>
      <c r="BF63" s="1">
        <v>6.93</v>
      </c>
      <c r="BG63" s="1">
        <v>5</v>
      </c>
      <c r="BH63" s="1"/>
      <c r="BI63" s="1"/>
      <c r="BJ63" s="1"/>
      <c r="BK63" s="1"/>
      <c r="BL63" s="1"/>
      <c r="BM63" s="1">
        <f>AVERAGE(AV63:BI63)</f>
        <v>7.0333333333333341</v>
      </c>
      <c r="BN63" s="12">
        <f t="shared" si="38"/>
        <v>7.0333333333333341</v>
      </c>
      <c r="BO63" s="1"/>
      <c r="BP63" s="1"/>
      <c r="BQ63" s="1"/>
      <c r="BR63" s="1">
        <v>411</v>
      </c>
      <c r="BS63" s="1"/>
      <c r="BT63" s="1">
        <v>235</v>
      </c>
      <c r="BU63" s="1"/>
      <c r="BV63" s="1">
        <v>411</v>
      </c>
      <c r="BW63" s="1"/>
      <c r="BX63" s="1"/>
      <c r="BY63" s="1">
        <f>AVERAGE(BR63:BU63)</f>
        <v>323</v>
      </c>
      <c r="BZ63" s="1">
        <f>BY63/1000</f>
        <v>0.32300000000000001</v>
      </c>
      <c r="CA63" s="1">
        <f>AVERAGE(BQ63:BU63)</f>
        <v>323</v>
      </c>
      <c r="CB63" s="12">
        <f>CA63/1000</f>
        <v>0.32300000000000001</v>
      </c>
      <c r="CC63" s="13">
        <f t="shared" si="28"/>
        <v>2.2717666666666672</v>
      </c>
      <c r="CD63" s="6"/>
      <c r="CE63" s="6">
        <v>13.13</v>
      </c>
      <c r="CF63" s="6">
        <f>AVERAGE(CD63:CE63)</f>
        <v>13.13</v>
      </c>
      <c r="CG63" s="6"/>
      <c r="CH63" s="6">
        <v>61</v>
      </c>
      <c r="CI63" s="6">
        <v>61</v>
      </c>
      <c r="CJ63" s="13">
        <f>((Q63-CB63)/CB63)*100</f>
        <v>9028.0123839009284</v>
      </c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</row>
    <row r="64" spans="1:160" x14ac:dyDescent="0.3">
      <c r="A64" s="6" t="s">
        <v>135</v>
      </c>
      <c r="B64" s="10" t="s">
        <v>135</v>
      </c>
      <c r="C64" s="10" t="s">
        <v>136</v>
      </c>
      <c r="D64" s="6" t="s">
        <v>136</v>
      </c>
      <c r="E64" s="7"/>
      <c r="F64" s="7"/>
      <c r="G64" s="7"/>
      <c r="H64" s="7"/>
      <c r="I64" s="1">
        <v>24.947559999999999</v>
      </c>
      <c r="J64" s="1">
        <v>36.28736</v>
      </c>
      <c r="K64" s="1">
        <v>25</v>
      </c>
      <c r="L64" s="1">
        <v>36.5</v>
      </c>
      <c r="M64" s="1">
        <v>20.411639999999998</v>
      </c>
      <c r="N64" s="1">
        <v>31.751439999999999</v>
      </c>
      <c r="O64" s="1">
        <v>22.5</v>
      </c>
      <c r="P64" s="1">
        <v>32</v>
      </c>
      <c r="Q64" s="12">
        <v>28.349499999999999</v>
      </c>
      <c r="R64" s="1">
        <v>30.617460000000001</v>
      </c>
      <c r="S64" s="1">
        <v>26.08154</v>
      </c>
      <c r="T64" s="1">
        <v>29</v>
      </c>
      <c r="U64" s="1">
        <v>30.75</v>
      </c>
      <c r="V64" s="1">
        <v>27.25</v>
      </c>
      <c r="W64" s="1">
        <f>AVERAGE(X64:Y64)</f>
        <v>30.62</v>
      </c>
      <c r="X64" s="1">
        <v>30.62</v>
      </c>
      <c r="Y64" s="1"/>
      <c r="Z64" s="1"/>
      <c r="AA64" s="1">
        <v>31</v>
      </c>
      <c r="AB64" s="1"/>
      <c r="AC64" s="1"/>
      <c r="AD64" s="1"/>
      <c r="AE64" s="1">
        <f t="shared" si="31"/>
        <v>28.67475</v>
      </c>
      <c r="AF64" s="1">
        <f>AVERAGE(X64:AD64)</f>
        <v>30.810000000000002</v>
      </c>
      <c r="AG64" s="1">
        <f t="shared" si="29"/>
        <v>29.742375000000003</v>
      </c>
      <c r="AH64" s="1">
        <v>12</v>
      </c>
      <c r="AI64" s="1">
        <v>13</v>
      </c>
      <c r="AJ64" s="1">
        <v>10</v>
      </c>
      <c r="AK64" s="1">
        <v>12</v>
      </c>
      <c r="AL64" s="1">
        <v>12.5</v>
      </c>
      <c r="AM64" s="1">
        <v>11</v>
      </c>
      <c r="AN64" s="1"/>
      <c r="AO64" s="1"/>
      <c r="AP64" s="1">
        <v>11.3</v>
      </c>
      <c r="AQ64" s="1">
        <f t="shared" si="32"/>
        <v>11.75</v>
      </c>
      <c r="AR64" s="1">
        <f>AVERAGE(AN64:AP64)</f>
        <v>11.3</v>
      </c>
      <c r="AS64" s="12">
        <f t="shared" si="30"/>
        <v>11.525</v>
      </c>
      <c r="AT64" s="1"/>
      <c r="AU64" s="1"/>
      <c r="AV64" s="1"/>
      <c r="AW64" s="1"/>
      <c r="AX64" s="1"/>
      <c r="AY64" s="1"/>
      <c r="AZ64" s="1">
        <v>7.6</v>
      </c>
      <c r="BA64" s="1"/>
      <c r="BB64" s="1"/>
      <c r="BC64" s="1"/>
      <c r="BD64" s="1"/>
      <c r="BE64" s="1">
        <v>8</v>
      </c>
      <c r="BF64" s="1"/>
      <c r="BG64" s="1"/>
      <c r="BH64" s="1"/>
      <c r="BI64" s="1"/>
      <c r="BJ64" s="1"/>
      <c r="BK64" s="1"/>
      <c r="BL64" s="1"/>
      <c r="BM64" s="1">
        <f>AVERAGE(AV64:BI64)</f>
        <v>7.8</v>
      </c>
      <c r="BN64" s="12">
        <f t="shared" si="38"/>
        <v>7.8</v>
      </c>
      <c r="BO64" s="1"/>
      <c r="BP64" s="1"/>
      <c r="BQ64" s="1"/>
      <c r="BR64" s="1">
        <v>315</v>
      </c>
      <c r="BS64" s="1"/>
      <c r="BT64" s="1">
        <v>406.5</v>
      </c>
      <c r="BU64" s="1"/>
      <c r="BV64" s="1">
        <v>315</v>
      </c>
      <c r="BW64" s="1"/>
      <c r="BX64" s="1"/>
      <c r="BY64" s="1">
        <f>AVERAGE(BR64:BU64)</f>
        <v>360.75</v>
      </c>
      <c r="BZ64" s="1">
        <f>BY64/1000</f>
        <v>0.36075000000000002</v>
      </c>
      <c r="CA64" s="1">
        <f>AVERAGE(BQ64:BU64)</f>
        <v>360.75</v>
      </c>
      <c r="CB64" s="12">
        <f>CA64/1000</f>
        <v>0.36075000000000002</v>
      </c>
      <c r="CC64" s="13">
        <f t="shared" si="28"/>
        <v>2.81385</v>
      </c>
      <c r="CD64" s="6"/>
      <c r="CE64" s="6"/>
      <c r="CF64" s="6"/>
      <c r="CG64" s="6"/>
      <c r="CH64" s="6"/>
      <c r="CI64" s="6"/>
      <c r="CJ64" s="13">
        <f>((Q64-CB64)/CB64)*100</f>
        <v>7758.4892584892586</v>
      </c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</row>
    <row r="65" spans="1:160" x14ac:dyDescent="0.3">
      <c r="A65" s="6" t="s">
        <v>137</v>
      </c>
      <c r="B65" s="10" t="s">
        <v>137</v>
      </c>
      <c r="C65" s="10" t="s">
        <v>138</v>
      </c>
      <c r="D65" s="6" t="s">
        <v>138</v>
      </c>
      <c r="E65" s="7"/>
      <c r="F65" s="7"/>
      <c r="G65" s="7"/>
      <c r="H65" s="7"/>
      <c r="I65" s="1"/>
      <c r="J65" s="1"/>
      <c r="K65" s="1">
        <v>45.5</v>
      </c>
      <c r="L65" s="1"/>
      <c r="M65" s="1"/>
      <c r="N65" s="1"/>
      <c r="O65" s="1">
        <v>38.5</v>
      </c>
      <c r="P65" s="1"/>
      <c r="Q65" s="12"/>
      <c r="R65" s="1"/>
      <c r="S65" s="1"/>
      <c r="T65" s="1">
        <v>42</v>
      </c>
      <c r="U65" s="1">
        <v>45.5</v>
      </c>
      <c r="V65" s="1">
        <v>38.5</v>
      </c>
      <c r="W65" s="1">
        <f>AVERAGE(X65:Y65)</f>
        <v>45</v>
      </c>
      <c r="X65" s="1">
        <v>45</v>
      </c>
      <c r="Y65" s="1"/>
      <c r="Z65" s="1"/>
      <c r="AA65" s="1">
        <v>50</v>
      </c>
      <c r="AB65" s="1"/>
      <c r="AC65" s="1"/>
      <c r="AD65" s="1"/>
      <c r="AE65" s="1">
        <f t="shared" si="31"/>
        <v>42</v>
      </c>
      <c r="AF65" s="1">
        <f>AVERAGE(X65:AD65)</f>
        <v>47.5</v>
      </c>
      <c r="AG65" s="1">
        <f t="shared" si="29"/>
        <v>44.75</v>
      </c>
      <c r="AH65" s="1">
        <v>10</v>
      </c>
      <c r="AI65" s="1">
        <v>12</v>
      </c>
      <c r="AJ65" s="1">
        <v>10</v>
      </c>
      <c r="AK65" s="1">
        <v>11</v>
      </c>
      <c r="AL65" s="1">
        <v>11</v>
      </c>
      <c r="AM65" s="1">
        <v>10.5</v>
      </c>
      <c r="AN65" s="1"/>
      <c r="AO65" s="1"/>
      <c r="AP65" s="1"/>
      <c r="AQ65" s="1">
        <f t="shared" si="32"/>
        <v>10.75</v>
      </c>
      <c r="AR65" s="1"/>
      <c r="AS65" s="12">
        <f t="shared" si="30"/>
        <v>10.75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>
        <v>9</v>
      </c>
      <c r="BK65" s="1">
        <v>8</v>
      </c>
      <c r="BL65" s="1"/>
      <c r="BM65" s="1"/>
      <c r="BN65" s="12">
        <f t="shared" si="38"/>
        <v>8.5</v>
      </c>
      <c r="BO65" s="1"/>
      <c r="BP65" s="1"/>
      <c r="BQ65" s="1"/>
      <c r="BR65" s="1">
        <v>624</v>
      </c>
      <c r="BS65" s="1"/>
      <c r="BT65" s="1"/>
      <c r="BU65" s="1"/>
      <c r="BV65" s="1">
        <v>624</v>
      </c>
      <c r="BW65" s="1"/>
      <c r="BX65" s="1"/>
      <c r="BY65" s="1">
        <f>AVERAGE(BR65:BU65)</f>
        <v>624</v>
      </c>
      <c r="BZ65" s="1">
        <f>BY65/1000</f>
        <v>0.624</v>
      </c>
      <c r="CA65" s="1">
        <f>AVERAGE(BQ65:BU65)</f>
        <v>624</v>
      </c>
      <c r="CB65" s="12">
        <f>CA65/1000</f>
        <v>0.624</v>
      </c>
      <c r="CC65" s="13">
        <f t="shared" si="28"/>
        <v>5.3040000000000003</v>
      </c>
      <c r="CD65" s="6"/>
      <c r="CE65" s="6"/>
      <c r="CF65" s="6"/>
      <c r="CG65" s="6"/>
      <c r="CH65" s="6"/>
      <c r="CI65" s="6"/>
      <c r="CJ65" s="13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</row>
    <row r="66" spans="1:160" x14ac:dyDescent="0.3">
      <c r="A66" s="6" t="s">
        <v>139</v>
      </c>
      <c r="B66" s="10" t="s">
        <v>139</v>
      </c>
      <c r="C66" s="10" t="s">
        <v>140</v>
      </c>
      <c r="D66" s="6" t="s">
        <v>140</v>
      </c>
      <c r="E66" s="7"/>
      <c r="F66" s="7"/>
      <c r="G66" s="7"/>
      <c r="H66" s="7"/>
      <c r="I66" s="1"/>
      <c r="J66" s="1"/>
      <c r="K66" s="1"/>
      <c r="L66" s="1"/>
      <c r="M66" s="1"/>
      <c r="N66" s="1"/>
      <c r="O66" s="1"/>
      <c r="P66" s="1"/>
      <c r="Q66" s="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2"/>
      <c r="AT66" s="1"/>
      <c r="AU66" s="1"/>
      <c r="AV66" s="1"/>
      <c r="AW66" s="1"/>
      <c r="AX66" s="1"/>
      <c r="AY66" s="1"/>
      <c r="AZ66" s="1">
        <v>5.6</v>
      </c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>
        <f t="shared" ref="BM66:BM78" si="41">AVERAGE(AV66:BI66)</f>
        <v>5.6</v>
      </c>
      <c r="BN66" s="12">
        <f t="shared" si="38"/>
        <v>5.6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2"/>
      <c r="CC66" s="13">
        <f t="shared" si="28"/>
        <v>0</v>
      </c>
      <c r="CD66" s="6"/>
      <c r="CE66" s="6"/>
      <c r="CF66" s="6"/>
      <c r="CG66" s="6"/>
      <c r="CH66" s="6"/>
      <c r="CI66" s="6"/>
      <c r="CJ66" s="13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</row>
    <row r="67" spans="1:160" x14ac:dyDescent="0.3">
      <c r="A67" s="6" t="s">
        <v>141</v>
      </c>
      <c r="B67" s="10" t="s">
        <v>141</v>
      </c>
      <c r="C67" s="10" t="s">
        <v>142</v>
      </c>
      <c r="D67" s="6" t="s">
        <v>142</v>
      </c>
      <c r="E67" s="7"/>
      <c r="F67" s="7"/>
      <c r="G67" s="7"/>
      <c r="H67" s="7"/>
      <c r="I67" s="1">
        <v>29.48348</v>
      </c>
      <c r="J67" s="1">
        <v>31.751439999999999</v>
      </c>
      <c r="K67" s="1">
        <v>29</v>
      </c>
      <c r="L67" s="1">
        <v>32</v>
      </c>
      <c r="M67" s="1"/>
      <c r="N67" s="1"/>
      <c r="O67" s="1">
        <v>27</v>
      </c>
      <c r="P67" s="1">
        <v>29</v>
      </c>
      <c r="Q67" s="12">
        <v>30.617460000000001</v>
      </c>
      <c r="R67" s="1">
        <v>30.617460000000001</v>
      </c>
      <c r="S67" s="1"/>
      <c r="T67" s="1">
        <v>29.25</v>
      </c>
      <c r="U67" s="1">
        <v>30.5</v>
      </c>
      <c r="V67" s="1">
        <v>28</v>
      </c>
      <c r="W67" s="1">
        <f>AVERAGE(X67:Y67)</f>
        <v>30.75</v>
      </c>
      <c r="X67" s="1">
        <v>32.5</v>
      </c>
      <c r="Y67" s="1">
        <v>29</v>
      </c>
      <c r="Z67" s="1"/>
      <c r="AA67" s="1">
        <v>30</v>
      </c>
      <c r="AB67" s="1">
        <v>26.99</v>
      </c>
      <c r="AC67" s="1"/>
      <c r="AD67" s="1"/>
      <c r="AE67" s="1">
        <f t="shared" ref="AE67:AE79" si="42">AVERAGE(E67:P67)</f>
        <v>29.705819999999999</v>
      </c>
      <c r="AF67" s="1">
        <f>AVERAGE(X67:AD67)</f>
        <v>29.622499999999999</v>
      </c>
      <c r="AG67" s="1">
        <f t="shared" ref="AG67:AG79" si="43">AVERAGE(AE67:AF67)</f>
        <v>29.664159999999999</v>
      </c>
      <c r="AH67" s="1">
        <v>10</v>
      </c>
      <c r="AI67" s="1">
        <v>13</v>
      </c>
      <c r="AJ67" s="1">
        <v>10</v>
      </c>
      <c r="AK67" s="1">
        <v>12</v>
      </c>
      <c r="AL67" s="1">
        <v>11.5</v>
      </c>
      <c r="AM67" s="1">
        <v>11</v>
      </c>
      <c r="AN67" s="1"/>
      <c r="AO67" s="1">
        <v>10.8</v>
      </c>
      <c r="AP67" s="1">
        <v>13.2</v>
      </c>
      <c r="AQ67" s="1">
        <f t="shared" ref="AQ67:AQ79" si="44">AVERAGE(AH67:AK67)</f>
        <v>11.25</v>
      </c>
      <c r="AR67" s="1">
        <f>AVERAGE(AN67:AP67)</f>
        <v>12</v>
      </c>
      <c r="AS67" s="12">
        <f t="shared" ref="AS67:AS87" si="45">AVERAGE(AN67:AQ67)</f>
        <v>11.75</v>
      </c>
      <c r="AT67" s="1"/>
      <c r="AU67" s="1"/>
      <c r="AV67" s="1"/>
      <c r="AW67" s="1"/>
      <c r="AX67" s="1"/>
      <c r="AY67" s="1"/>
      <c r="AZ67" s="1">
        <v>8.9</v>
      </c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>
        <f t="shared" si="41"/>
        <v>8.9</v>
      </c>
      <c r="BN67" s="12">
        <f t="shared" si="38"/>
        <v>8.9</v>
      </c>
      <c r="BO67" s="1"/>
      <c r="BP67" s="1"/>
      <c r="BQ67" s="1"/>
      <c r="BR67" s="1">
        <v>447.5</v>
      </c>
      <c r="BS67" s="1"/>
      <c r="BT67" s="1"/>
      <c r="BU67" s="1"/>
      <c r="BV67" s="1">
        <v>550</v>
      </c>
      <c r="BW67" s="1">
        <v>345</v>
      </c>
      <c r="BX67" s="1"/>
      <c r="BY67" s="1">
        <f t="shared" ref="BY67:BY75" si="46">AVERAGE(BR67:BU67)</f>
        <v>447.5</v>
      </c>
      <c r="BZ67" s="1">
        <f t="shared" ref="BZ67:BZ75" si="47">BY67/1000</f>
        <v>0.44750000000000001</v>
      </c>
      <c r="CA67" s="1">
        <f t="shared" ref="CA67:CA75" si="48">AVERAGE(BQ67:BU67)</f>
        <v>447.5</v>
      </c>
      <c r="CB67" s="12">
        <f t="shared" ref="CB67:CB75" si="49">CA67/1000</f>
        <v>0.44750000000000001</v>
      </c>
      <c r="CC67" s="13">
        <f t="shared" si="28"/>
        <v>3.9827500000000002</v>
      </c>
      <c r="CD67" s="6"/>
      <c r="CE67" s="6"/>
      <c r="CF67" s="6"/>
      <c r="CG67" s="6"/>
      <c r="CH67" s="6"/>
      <c r="CI67" s="6"/>
      <c r="CJ67" s="13">
        <f t="shared" ref="CJ67:CJ73" si="50">((Q67-CB67)/CB67)*100</f>
        <v>6741.890502793296</v>
      </c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</row>
    <row r="68" spans="1:160" x14ac:dyDescent="0.3">
      <c r="A68" s="6" t="s">
        <v>143</v>
      </c>
      <c r="B68" s="10" t="s">
        <v>143</v>
      </c>
      <c r="C68" s="10" t="s">
        <v>144</v>
      </c>
      <c r="D68" s="6" t="s">
        <v>144</v>
      </c>
      <c r="E68" s="7"/>
      <c r="F68" s="7"/>
      <c r="G68" s="7">
        <v>34</v>
      </c>
      <c r="H68" s="7">
        <v>43</v>
      </c>
      <c r="I68" s="1">
        <v>29.48348</v>
      </c>
      <c r="J68" s="1">
        <v>40.823279999999997</v>
      </c>
      <c r="K68" s="1"/>
      <c r="L68" s="1"/>
      <c r="M68" s="1">
        <v>22.679600000000001</v>
      </c>
      <c r="N68" s="1">
        <v>31.751439999999999</v>
      </c>
      <c r="O68" s="1"/>
      <c r="P68" s="1"/>
      <c r="Q68" s="12">
        <v>31.184449999999998</v>
      </c>
      <c r="R68" s="1">
        <v>35.153379999999999</v>
      </c>
      <c r="S68" s="1">
        <v>27.215520000000001</v>
      </c>
      <c r="T68" s="1">
        <v>38.5</v>
      </c>
      <c r="U68" s="1"/>
      <c r="V68" s="1"/>
      <c r="W68" s="1">
        <f>AVERAGE(X68:Y68)</f>
        <v>38.56</v>
      </c>
      <c r="X68" s="1">
        <v>38.56</v>
      </c>
      <c r="Y68" s="1">
        <v>38.56</v>
      </c>
      <c r="Z68" s="1"/>
      <c r="AA68" s="1">
        <v>37</v>
      </c>
      <c r="AB68" s="1"/>
      <c r="AC68" s="1"/>
      <c r="AD68" s="1">
        <v>29.48</v>
      </c>
      <c r="AE68" s="1">
        <f t="shared" si="42"/>
        <v>33.622966666666663</v>
      </c>
      <c r="AF68" s="1">
        <f>AVERAGE(X68:AD68)</f>
        <v>35.9</v>
      </c>
      <c r="AG68" s="1">
        <f t="shared" si="43"/>
        <v>34.761483333333331</v>
      </c>
      <c r="AH68" s="1">
        <v>7</v>
      </c>
      <c r="AI68" s="1">
        <v>10</v>
      </c>
      <c r="AJ68" s="1">
        <v>12</v>
      </c>
      <c r="AK68" s="1">
        <v>14</v>
      </c>
      <c r="AL68" s="1">
        <v>8.5</v>
      </c>
      <c r="AM68" s="1">
        <v>13</v>
      </c>
      <c r="AN68" s="1">
        <v>10.08</v>
      </c>
      <c r="AO68" s="1">
        <v>11</v>
      </c>
      <c r="AP68" s="1">
        <v>10.3</v>
      </c>
      <c r="AQ68" s="1">
        <f t="shared" si="44"/>
        <v>10.75</v>
      </c>
      <c r="AR68" s="1">
        <f>AVERAGE(AN68:AP68)</f>
        <v>10.459999999999999</v>
      </c>
      <c r="AS68" s="12">
        <f t="shared" si="45"/>
        <v>10.532499999999999</v>
      </c>
      <c r="AT68" s="1">
        <v>9</v>
      </c>
      <c r="AU68" s="1"/>
      <c r="AV68" s="1">
        <v>5.0999999999999996</v>
      </c>
      <c r="AW68" s="1">
        <v>5.9</v>
      </c>
      <c r="AX68" s="1"/>
      <c r="AY68" s="1">
        <v>6.33</v>
      </c>
      <c r="AZ68" s="1">
        <v>6.1</v>
      </c>
      <c r="BA68" s="1"/>
      <c r="BB68" s="1"/>
      <c r="BC68" s="1"/>
      <c r="BD68" s="1"/>
      <c r="BE68" s="1">
        <v>7</v>
      </c>
      <c r="BF68" s="1">
        <v>5.5</v>
      </c>
      <c r="BG68" s="1"/>
      <c r="BH68" s="1"/>
      <c r="BI68" s="1"/>
      <c r="BJ68" s="1"/>
      <c r="BK68" s="1"/>
      <c r="BL68" s="1">
        <f>AVERAGE(AT68:AU68)</f>
        <v>9</v>
      </c>
      <c r="BM68" s="1">
        <f t="shared" si="41"/>
        <v>5.9883333333333333</v>
      </c>
      <c r="BN68" s="12">
        <f t="shared" si="38"/>
        <v>6.4185714285714282</v>
      </c>
      <c r="BO68" s="1"/>
      <c r="BP68" s="1"/>
      <c r="BQ68" s="1">
        <v>396.89299999999997</v>
      </c>
      <c r="BR68" s="1">
        <v>407.5</v>
      </c>
      <c r="BS68" s="1"/>
      <c r="BT68" s="1">
        <v>503</v>
      </c>
      <c r="BU68" s="1">
        <v>542.79999999999995</v>
      </c>
      <c r="BV68" s="1">
        <v>567</v>
      </c>
      <c r="BW68" s="1">
        <v>248</v>
      </c>
      <c r="BX68" s="1">
        <v>396.89299999999997</v>
      </c>
      <c r="BY68" s="1">
        <f t="shared" si="46"/>
        <v>484.43333333333334</v>
      </c>
      <c r="BZ68" s="1">
        <f t="shared" si="47"/>
        <v>0.48443333333333333</v>
      </c>
      <c r="CA68" s="1">
        <f t="shared" si="48"/>
        <v>462.54825</v>
      </c>
      <c r="CB68" s="12">
        <f t="shared" si="49"/>
        <v>0.46254824999999999</v>
      </c>
      <c r="CC68" s="13">
        <f t="shared" si="28"/>
        <v>2.9688989817857139</v>
      </c>
      <c r="CD68" s="6"/>
      <c r="CE68" s="6">
        <v>8.18</v>
      </c>
      <c r="CF68" s="6">
        <f>AVERAGE(CD68:CE68)</f>
        <v>8.18</v>
      </c>
      <c r="CG68" s="6"/>
      <c r="CH68" s="6">
        <v>70</v>
      </c>
      <c r="CI68" s="6">
        <v>70</v>
      </c>
      <c r="CJ68" s="13">
        <f t="shared" si="50"/>
        <v>6641.8804416620314</v>
      </c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</row>
    <row r="69" spans="1:160" x14ac:dyDescent="0.3">
      <c r="A69" s="6" t="s">
        <v>145</v>
      </c>
      <c r="B69" s="10" t="s">
        <v>145</v>
      </c>
      <c r="C69" s="10" t="s">
        <v>146</v>
      </c>
      <c r="D69" s="6" t="s">
        <v>146</v>
      </c>
      <c r="E69" s="7"/>
      <c r="F69" s="7"/>
      <c r="G69" s="7"/>
      <c r="H69" s="7"/>
      <c r="I69" s="1">
        <v>24.947559999999999</v>
      </c>
      <c r="J69" s="1">
        <v>31.751439999999999</v>
      </c>
      <c r="K69" s="1">
        <v>25</v>
      </c>
      <c r="L69" s="1">
        <v>32</v>
      </c>
      <c r="M69" s="1">
        <v>20.411639999999998</v>
      </c>
      <c r="N69" s="1">
        <v>27.215520000000001</v>
      </c>
      <c r="O69" s="1">
        <v>20.5</v>
      </c>
      <c r="P69" s="1">
        <v>27.5</v>
      </c>
      <c r="Q69" s="12">
        <v>26.08154</v>
      </c>
      <c r="R69" s="1">
        <v>28.349499999999999</v>
      </c>
      <c r="S69" s="1">
        <v>23.813580000000002</v>
      </c>
      <c r="T69" s="1">
        <v>26.25</v>
      </c>
      <c r="U69" s="1">
        <v>28.5</v>
      </c>
      <c r="V69" s="1">
        <v>24</v>
      </c>
      <c r="W69" s="1">
        <f>AVERAGE(X69:Y69)</f>
        <v>28.5</v>
      </c>
      <c r="X69" s="1">
        <v>28.5</v>
      </c>
      <c r="Y69" s="1"/>
      <c r="Z69" s="1"/>
      <c r="AA69" s="1">
        <v>28</v>
      </c>
      <c r="AB69" s="1">
        <v>24.38</v>
      </c>
      <c r="AC69" s="1"/>
      <c r="AD69" s="1">
        <v>23.81</v>
      </c>
      <c r="AE69" s="1">
        <f t="shared" si="42"/>
        <v>26.165769999999998</v>
      </c>
      <c r="AF69" s="1">
        <f>AVERAGE(X69:AD69)</f>
        <v>26.172499999999999</v>
      </c>
      <c r="AG69" s="1">
        <f t="shared" si="43"/>
        <v>26.169134999999997</v>
      </c>
      <c r="AH69" s="1">
        <v>10</v>
      </c>
      <c r="AI69" s="1">
        <v>12</v>
      </c>
      <c r="AJ69" s="1">
        <v>12</v>
      </c>
      <c r="AK69" s="1">
        <v>15</v>
      </c>
      <c r="AL69" s="1">
        <v>11</v>
      </c>
      <c r="AM69" s="1">
        <v>13.5</v>
      </c>
      <c r="AN69" s="1"/>
      <c r="AO69" s="1"/>
      <c r="AP69" s="1">
        <v>12.3</v>
      </c>
      <c r="AQ69" s="1">
        <f t="shared" si="44"/>
        <v>12.25</v>
      </c>
      <c r="AR69" s="1">
        <f>AVERAGE(AN69:AP69)</f>
        <v>12.3</v>
      </c>
      <c r="AS69" s="12">
        <f t="shared" si="45"/>
        <v>12.275</v>
      </c>
      <c r="AT69" s="1"/>
      <c r="AU69" s="1"/>
      <c r="AV69" s="1"/>
      <c r="AW69" s="1"/>
      <c r="AX69" s="1"/>
      <c r="AY69" s="1"/>
      <c r="AZ69" s="1">
        <v>8.3000000000000007</v>
      </c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>
        <f t="shared" si="41"/>
        <v>8.3000000000000007</v>
      </c>
      <c r="BN69" s="12">
        <f t="shared" si="38"/>
        <v>8.3000000000000007</v>
      </c>
      <c r="BO69" s="1"/>
      <c r="BP69" s="1"/>
      <c r="BQ69" s="1"/>
      <c r="BR69" s="1">
        <v>500</v>
      </c>
      <c r="BS69" s="1"/>
      <c r="BT69" s="1"/>
      <c r="BU69" s="1"/>
      <c r="BV69" s="1">
        <v>500</v>
      </c>
      <c r="BW69" s="1"/>
      <c r="BX69" s="1"/>
      <c r="BY69" s="1">
        <f t="shared" si="46"/>
        <v>500</v>
      </c>
      <c r="BZ69" s="1">
        <f t="shared" si="47"/>
        <v>0.5</v>
      </c>
      <c r="CA69" s="1">
        <f t="shared" si="48"/>
        <v>500</v>
      </c>
      <c r="CB69" s="12">
        <f t="shared" si="49"/>
        <v>0.5</v>
      </c>
      <c r="CC69" s="13">
        <f t="shared" si="28"/>
        <v>4.1500000000000004</v>
      </c>
      <c r="CD69" s="6"/>
      <c r="CE69" s="6"/>
      <c r="CF69" s="6"/>
      <c r="CG69" s="6"/>
      <c r="CH69" s="6"/>
      <c r="CI69" s="6"/>
      <c r="CJ69" s="13">
        <f t="shared" si="50"/>
        <v>5116.308</v>
      </c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</row>
    <row r="70" spans="1:160" x14ac:dyDescent="0.3">
      <c r="A70" s="6" t="s">
        <v>147</v>
      </c>
      <c r="B70" s="10" t="s">
        <v>147</v>
      </c>
      <c r="C70" s="10" t="s">
        <v>148</v>
      </c>
      <c r="D70" s="6" t="s">
        <v>148</v>
      </c>
      <c r="E70" s="7"/>
      <c r="F70" s="7"/>
      <c r="G70" s="7"/>
      <c r="H70" s="7"/>
      <c r="I70" s="1">
        <v>52.163080000000001</v>
      </c>
      <c r="J70" s="1">
        <v>63.502879999999998</v>
      </c>
      <c r="K70" s="1">
        <v>53.5</v>
      </c>
      <c r="L70" s="1">
        <v>63.4</v>
      </c>
      <c r="M70" s="1">
        <v>38.555320000000002</v>
      </c>
      <c r="N70" s="1">
        <v>49.895119999999999</v>
      </c>
      <c r="O70" s="1">
        <v>38.5</v>
      </c>
      <c r="P70" s="1">
        <v>50</v>
      </c>
      <c r="Q70" s="12">
        <v>51.0291</v>
      </c>
      <c r="R70" s="1">
        <v>57.832979999999999</v>
      </c>
      <c r="S70" s="1">
        <v>44.22522</v>
      </c>
      <c r="T70" s="1">
        <v>51.35</v>
      </c>
      <c r="U70" s="1">
        <v>58.45</v>
      </c>
      <c r="V70" s="1">
        <v>44.25</v>
      </c>
      <c r="W70" s="1">
        <f>AVERAGE(X70:Y70)</f>
        <v>60</v>
      </c>
      <c r="X70" s="1">
        <v>60</v>
      </c>
      <c r="Y70" s="1"/>
      <c r="Z70" s="1"/>
      <c r="AA70" s="1"/>
      <c r="AB70" s="1"/>
      <c r="AC70" s="1"/>
      <c r="AD70" s="1"/>
      <c r="AE70" s="1">
        <f t="shared" si="42"/>
        <v>51.189550000000004</v>
      </c>
      <c r="AF70" s="1">
        <f>AVERAGE(X70:AD70)</f>
        <v>60</v>
      </c>
      <c r="AG70" s="1">
        <f t="shared" si="43"/>
        <v>55.594774999999998</v>
      </c>
      <c r="AH70" s="1">
        <v>8</v>
      </c>
      <c r="AI70" s="1">
        <v>11</v>
      </c>
      <c r="AJ70" s="1">
        <v>7</v>
      </c>
      <c r="AK70" s="1">
        <v>9</v>
      </c>
      <c r="AL70" s="1">
        <v>9.5</v>
      </c>
      <c r="AM70" s="1">
        <v>8</v>
      </c>
      <c r="AN70" s="1"/>
      <c r="AO70" s="1"/>
      <c r="AP70" s="1"/>
      <c r="AQ70" s="1">
        <f t="shared" si="44"/>
        <v>8.75</v>
      </c>
      <c r="AR70" s="1"/>
      <c r="AS70" s="12">
        <f t="shared" si="45"/>
        <v>8.75</v>
      </c>
      <c r="AT70" s="1"/>
      <c r="AU70" s="1"/>
      <c r="AV70" s="1"/>
      <c r="AW70" s="1"/>
      <c r="AX70" s="1"/>
      <c r="AY70" s="1"/>
      <c r="AZ70" s="1">
        <v>9</v>
      </c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>
        <f t="shared" si="41"/>
        <v>9</v>
      </c>
      <c r="BN70" s="12">
        <f t="shared" si="38"/>
        <v>9</v>
      </c>
      <c r="BO70" s="1"/>
      <c r="BP70" s="1"/>
      <c r="BQ70" s="1"/>
      <c r="BR70" s="1">
        <v>510</v>
      </c>
      <c r="BS70" s="1"/>
      <c r="BT70" s="1"/>
      <c r="BU70" s="1"/>
      <c r="BV70" s="1">
        <v>510</v>
      </c>
      <c r="BW70" s="1"/>
      <c r="BX70" s="1"/>
      <c r="BY70" s="1">
        <f t="shared" si="46"/>
        <v>510</v>
      </c>
      <c r="BZ70" s="1">
        <f t="shared" si="47"/>
        <v>0.51</v>
      </c>
      <c r="CA70" s="1">
        <f t="shared" si="48"/>
        <v>510</v>
      </c>
      <c r="CB70" s="12">
        <f t="shared" si="49"/>
        <v>0.51</v>
      </c>
      <c r="CC70" s="13">
        <f t="shared" si="28"/>
        <v>4.59</v>
      </c>
      <c r="CD70" s="6"/>
      <c r="CE70" s="6"/>
      <c r="CF70" s="6"/>
      <c r="CG70" s="6"/>
      <c r="CH70" s="6"/>
      <c r="CI70" s="6"/>
      <c r="CJ70" s="13">
        <f t="shared" si="50"/>
        <v>9905.7058823529424</v>
      </c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</row>
    <row r="71" spans="1:160" x14ac:dyDescent="0.3">
      <c r="A71" s="6" t="s">
        <v>149</v>
      </c>
      <c r="B71" s="10" t="s">
        <v>149</v>
      </c>
      <c r="C71" s="10" t="s">
        <v>150</v>
      </c>
      <c r="D71" s="6" t="s">
        <v>150</v>
      </c>
      <c r="E71" s="7"/>
      <c r="F71" s="7"/>
      <c r="G71" s="7">
        <v>32</v>
      </c>
      <c r="H71" s="7">
        <v>35</v>
      </c>
      <c r="I71" s="1">
        <v>27.215520000000001</v>
      </c>
      <c r="J71" s="1">
        <v>38.555320000000002</v>
      </c>
      <c r="K71" s="1"/>
      <c r="L71" s="1"/>
      <c r="M71" s="1">
        <v>24.947559999999999</v>
      </c>
      <c r="N71" s="1">
        <v>34.019399999999997</v>
      </c>
      <c r="O71" s="1"/>
      <c r="P71" s="1"/>
      <c r="Q71" s="12">
        <v>31.184449999999998</v>
      </c>
      <c r="R71" s="1">
        <v>32.885420000000003</v>
      </c>
      <c r="S71" s="1">
        <v>29.48348</v>
      </c>
      <c r="T71" s="1">
        <v>33.5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f t="shared" si="42"/>
        <v>31.956299999999999</v>
      </c>
      <c r="AF71" s="1"/>
      <c r="AG71" s="1">
        <f t="shared" si="43"/>
        <v>31.956299999999999</v>
      </c>
      <c r="AH71" s="1">
        <v>12</v>
      </c>
      <c r="AI71" s="1">
        <v>15</v>
      </c>
      <c r="AJ71" s="1">
        <v>10</v>
      </c>
      <c r="AK71" s="1">
        <v>12</v>
      </c>
      <c r="AL71" s="1">
        <v>13.5</v>
      </c>
      <c r="AM71" s="1">
        <v>11</v>
      </c>
      <c r="AN71" s="1"/>
      <c r="AO71" s="1"/>
      <c r="AP71" s="1"/>
      <c r="AQ71" s="1">
        <f t="shared" si="44"/>
        <v>12.25</v>
      </c>
      <c r="AR71" s="1"/>
      <c r="AS71" s="12">
        <f t="shared" si="45"/>
        <v>12.25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>
        <v>10</v>
      </c>
      <c r="BF71" s="1"/>
      <c r="BG71" s="1"/>
      <c r="BH71" s="1"/>
      <c r="BI71" s="1"/>
      <c r="BJ71" s="1"/>
      <c r="BK71" s="1"/>
      <c r="BL71" s="1"/>
      <c r="BM71" s="1">
        <f t="shared" si="41"/>
        <v>10</v>
      </c>
      <c r="BN71" s="12">
        <f t="shared" si="38"/>
        <v>10</v>
      </c>
      <c r="BO71" s="1"/>
      <c r="BP71" s="1"/>
      <c r="BQ71" s="1"/>
      <c r="BR71" s="1"/>
      <c r="BS71" s="1"/>
      <c r="BT71" s="1">
        <v>357</v>
      </c>
      <c r="BU71" s="1"/>
      <c r="BV71" s="1"/>
      <c r="BW71" s="1"/>
      <c r="BX71" s="1"/>
      <c r="BY71" s="1">
        <f t="shared" si="46"/>
        <v>357</v>
      </c>
      <c r="BZ71" s="1">
        <f t="shared" si="47"/>
        <v>0.35699999999999998</v>
      </c>
      <c r="CA71" s="1">
        <f t="shared" si="48"/>
        <v>357</v>
      </c>
      <c r="CB71" s="12">
        <f t="shared" si="49"/>
        <v>0.35699999999999998</v>
      </c>
      <c r="CC71" s="13">
        <f t="shared" si="28"/>
        <v>3.57</v>
      </c>
      <c r="CD71" s="6"/>
      <c r="CE71" s="6"/>
      <c r="CF71" s="6"/>
      <c r="CG71" s="6"/>
      <c r="CH71" s="6"/>
      <c r="CI71" s="6"/>
      <c r="CJ71" s="13">
        <f t="shared" si="50"/>
        <v>8635.1400560224101</v>
      </c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</row>
    <row r="72" spans="1:160" x14ac:dyDescent="0.3">
      <c r="A72" s="6" t="s">
        <v>151</v>
      </c>
      <c r="B72" s="10" t="s">
        <v>151</v>
      </c>
      <c r="C72" s="10" t="s">
        <v>152</v>
      </c>
      <c r="D72" s="6" t="s">
        <v>152</v>
      </c>
      <c r="E72" s="7">
        <v>22.679600000000001</v>
      </c>
      <c r="F72" s="7">
        <v>31.751439999999999</v>
      </c>
      <c r="G72" s="7">
        <v>20</v>
      </c>
      <c r="H72" s="7">
        <v>32</v>
      </c>
      <c r="I72" s="1"/>
      <c r="J72" s="1"/>
      <c r="K72" s="1"/>
      <c r="L72" s="1"/>
      <c r="M72" s="1"/>
      <c r="N72" s="1"/>
      <c r="O72" s="1"/>
      <c r="P72" s="1"/>
      <c r="Q72" s="12">
        <v>27.215520000000001</v>
      </c>
      <c r="R72" s="1"/>
      <c r="S72" s="1"/>
      <c r="T72" s="1">
        <v>26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>
        <f t="shared" si="42"/>
        <v>26.607759999999999</v>
      </c>
      <c r="AF72" s="1"/>
      <c r="AG72" s="1">
        <f t="shared" si="43"/>
        <v>26.607759999999999</v>
      </c>
      <c r="AH72" s="1">
        <v>14</v>
      </c>
      <c r="AI72" s="1">
        <v>16</v>
      </c>
      <c r="AJ72" s="1">
        <v>12</v>
      </c>
      <c r="AK72" s="1">
        <v>14</v>
      </c>
      <c r="AL72" s="1">
        <v>15</v>
      </c>
      <c r="AM72" s="1">
        <v>13</v>
      </c>
      <c r="AN72" s="1"/>
      <c r="AO72" s="1"/>
      <c r="AP72" s="1"/>
      <c r="AQ72" s="1">
        <f t="shared" si="44"/>
        <v>14</v>
      </c>
      <c r="AR72" s="1"/>
      <c r="AS72" s="12">
        <f t="shared" si="45"/>
        <v>14</v>
      </c>
      <c r="AT72" s="1"/>
      <c r="AU72" s="1"/>
      <c r="AV72" s="1"/>
      <c r="AW72" s="1"/>
      <c r="AX72" s="1"/>
      <c r="AY72" s="1">
        <v>9</v>
      </c>
      <c r="AZ72" s="1">
        <v>7.3</v>
      </c>
      <c r="BA72" s="1"/>
      <c r="BB72" s="1"/>
      <c r="BC72" s="1"/>
      <c r="BD72" s="1"/>
      <c r="BE72" s="1">
        <v>9</v>
      </c>
      <c r="BF72" s="1"/>
      <c r="BG72" s="1"/>
      <c r="BH72" s="1"/>
      <c r="BI72" s="1"/>
      <c r="BJ72" s="1"/>
      <c r="BK72" s="1"/>
      <c r="BL72" s="1"/>
      <c r="BM72" s="1">
        <f t="shared" si="41"/>
        <v>8.4333333333333336</v>
      </c>
      <c r="BN72" s="12">
        <f t="shared" si="38"/>
        <v>8.4333333333333336</v>
      </c>
      <c r="BO72" s="1"/>
      <c r="BP72" s="1"/>
      <c r="BQ72" s="1"/>
      <c r="BR72" s="1"/>
      <c r="BS72" s="1"/>
      <c r="BT72" s="1">
        <v>308</v>
      </c>
      <c r="BU72" s="1"/>
      <c r="BV72" s="1"/>
      <c r="BW72" s="1"/>
      <c r="BX72" s="1"/>
      <c r="BY72" s="1">
        <f t="shared" si="46"/>
        <v>308</v>
      </c>
      <c r="BZ72" s="1">
        <f t="shared" si="47"/>
        <v>0.308</v>
      </c>
      <c r="CA72" s="1">
        <f t="shared" si="48"/>
        <v>308</v>
      </c>
      <c r="CB72" s="12">
        <f t="shared" si="49"/>
        <v>0.308</v>
      </c>
      <c r="CC72" s="13">
        <f t="shared" si="28"/>
        <v>2.5974666666666666</v>
      </c>
      <c r="CD72" s="6"/>
      <c r="CE72" s="6"/>
      <c r="CF72" s="6"/>
      <c r="CG72" s="6"/>
      <c r="CH72" s="6"/>
      <c r="CI72" s="6"/>
      <c r="CJ72" s="13">
        <f t="shared" si="50"/>
        <v>8736.2077922077933</v>
      </c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</row>
    <row r="73" spans="1:160" x14ac:dyDescent="0.3">
      <c r="A73" s="6" t="s">
        <v>153</v>
      </c>
      <c r="B73" s="10" t="s">
        <v>153</v>
      </c>
      <c r="C73" s="10" t="s">
        <v>154</v>
      </c>
      <c r="D73" s="6" t="s">
        <v>154</v>
      </c>
      <c r="E73" s="7"/>
      <c r="F73" s="7"/>
      <c r="G73" s="7"/>
      <c r="H73" s="7"/>
      <c r="I73" s="1">
        <v>20.411639999999998</v>
      </c>
      <c r="J73" s="1">
        <v>27.215520000000001</v>
      </c>
      <c r="K73" s="1">
        <v>20.5</v>
      </c>
      <c r="L73" s="1">
        <v>27</v>
      </c>
      <c r="M73" s="1">
        <v>15.875719999999999</v>
      </c>
      <c r="N73" s="1">
        <v>22.679600000000001</v>
      </c>
      <c r="O73" s="1">
        <v>16</v>
      </c>
      <c r="P73" s="1">
        <v>22.5</v>
      </c>
      <c r="Q73" s="12">
        <v>21.54562</v>
      </c>
      <c r="R73" s="1">
        <v>23.813580000000002</v>
      </c>
      <c r="S73" s="1">
        <v>19.277660000000001</v>
      </c>
      <c r="T73" s="1">
        <v>21.5</v>
      </c>
      <c r="U73" s="1">
        <v>23.75</v>
      </c>
      <c r="V73" s="1">
        <v>19.25</v>
      </c>
      <c r="W73" s="1">
        <f>AVERAGE(X73:Y73)</f>
        <v>23.5</v>
      </c>
      <c r="X73" s="1">
        <v>23.5</v>
      </c>
      <c r="Y73" s="1"/>
      <c r="Z73" s="1"/>
      <c r="AA73" s="1">
        <v>24</v>
      </c>
      <c r="AB73" s="1">
        <v>20.87</v>
      </c>
      <c r="AC73" s="1"/>
      <c r="AD73" s="1">
        <v>21.77</v>
      </c>
      <c r="AE73" s="1">
        <f t="shared" si="42"/>
        <v>21.52281</v>
      </c>
      <c r="AF73" s="1">
        <f t="shared" ref="AF73:AF78" si="51">AVERAGE(X73:AD73)</f>
        <v>22.535</v>
      </c>
      <c r="AG73" s="1">
        <f t="shared" si="43"/>
        <v>22.028905000000002</v>
      </c>
      <c r="AH73" s="1">
        <v>12</v>
      </c>
      <c r="AI73" s="1">
        <v>14</v>
      </c>
      <c r="AJ73" s="1">
        <v>11</v>
      </c>
      <c r="AK73" s="1">
        <v>14</v>
      </c>
      <c r="AL73" s="1">
        <v>13</v>
      </c>
      <c r="AM73" s="1">
        <v>12.5</v>
      </c>
      <c r="AN73" s="1"/>
      <c r="AO73" s="1"/>
      <c r="AP73" s="1"/>
      <c r="AQ73" s="1">
        <f t="shared" si="44"/>
        <v>12.75</v>
      </c>
      <c r="AR73" s="1"/>
      <c r="AS73" s="12">
        <f t="shared" si="45"/>
        <v>12.75</v>
      </c>
      <c r="AT73" s="1"/>
      <c r="AU73" s="1"/>
      <c r="AV73" s="1"/>
      <c r="AW73" s="1"/>
      <c r="AX73" s="1"/>
      <c r="AY73" s="1"/>
      <c r="AZ73" s="1">
        <v>5.0999999999999996</v>
      </c>
      <c r="BA73" s="1"/>
      <c r="BB73" s="1"/>
      <c r="BC73" s="1"/>
      <c r="BD73" s="1"/>
      <c r="BE73" s="1">
        <v>5</v>
      </c>
      <c r="BF73" s="1"/>
      <c r="BG73" s="1"/>
      <c r="BH73" s="1"/>
      <c r="BI73" s="1"/>
      <c r="BJ73" s="1"/>
      <c r="BK73" s="1"/>
      <c r="BL73" s="1"/>
      <c r="BM73" s="1">
        <f t="shared" si="41"/>
        <v>5.05</v>
      </c>
      <c r="BN73" s="12">
        <f t="shared" si="38"/>
        <v>5.05</v>
      </c>
      <c r="BO73" s="1"/>
      <c r="BP73" s="1"/>
      <c r="BQ73" s="1"/>
      <c r="BR73" s="1">
        <v>527</v>
      </c>
      <c r="BS73" s="1"/>
      <c r="BT73" s="1">
        <v>556</v>
      </c>
      <c r="BU73" s="1"/>
      <c r="BV73" s="1">
        <v>527</v>
      </c>
      <c r="BW73" s="1"/>
      <c r="BX73" s="1"/>
      <c r="BY73" s="1">
        <f t="shared" si="46"/>
        <v>541.5</v>
      </c>
      <c r="BZ73" s="1">
        <f t="shared" si="47"/>
        <v>0.54149999999999998</v>
      </c>
      <c r="CA73" s="1">
        <f t="shared" si="48"/>
        <v>541.5</v>
      </c>
      <c r="CB73" s="12">
        <f t="shared" si="49"/>
        <v>0.54149999999999998</v>
      </c>
      <c r="CC73" s="13">
        <f t="shared" si="28"/>
        <v>2.734575</v>
      </c>
      <c r="CD73" s="6"/>
      <c r="CE73" s="6"/>
      <c r="CF73" s="6"/>
      <c r="CG73" s="6"/>
      <c r="CH73" s="6"/>
      <c r="CI73" s="6"/>
      <c r="CJ73" s="13">
        <f t="shared" si="50"/>
        <v>3878.8771929824561</v>
      </c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</row>
    <row r="74" spans="1:160" x14ac:dyDescent="0.3">
      <c r="A74" s="6" t="s">
        <v>155</v>
      </c>
      <c r="B74" s="10" t="s">
        <v>155</v>
      </c>
      <c r="C74" s="10" t="s">
        <v>156</v>
      </c>
      <c r="D74" s="6" t="s">
        <v>156</v>
      </c>
      <c r="E74" s="7"/>
      <c r="F74" s="7"/>
      <c r="G74" s="7">
        <v>9</v>
      </c>
      <c r="H74" s="7">
        <v>14</v>
      </c>
      <c r="I74" s="1"/>
      <c r="J74" s="1"/>
      <c r="K74" s="1"/>
      <c r="L74" s="1"/>
      <c r="M74" s="1"/>
      <c r="N74" s="1"/>
      <c r="O74" s="1"/>
      <c r="P74" s="1"/>
      <c r="Q74" s="12"/>
      <c r="R74" s="1"/>
      <c r="S74" s="1"/>
      <c r="T74" s="1">
        <v>11.5</v>
      </c>
      <c r="U74" s="1"/>
      <c r="V74" s="1"/>
      <c r="W74" s="1">
        <f>AVERAGE(X74:Y74)</f>
        <v>12</v>
      </c>
      <c r="X74" s="1">
        <v>11.5</v>
      </c>
      <c r="Y74" s="1">
        <v>12.5</v>
      </c>
      <c r="Z74" s="1"/>
      <c r="AA74" s="1"/>
      <c r="AB74" s="1"/>
      <c r="AC74" s="1"/>
      <c r="AD74" s="1"/>
      <c r="AE74" s="1">
        <f t="shared" si="42"/>
        <v>11.5</v>
      </c>
      <c r="AF74" s="1">
        <f t="shared" si="51"/>
        <v>12</v>
      </c>
      <c r="AG74" s="1">
        <f t="shared" si="43"/>
        <v>11.75</v>
      </c>
      <c r="AH74" s="1">
        <v>12</v>
      </c>
      <c r="AI74" s="1">
        <v>14</v>
      </c>
      <c r="AJ74" s="1">
        <v>12</v>
      </c>
      <c r="AK74" s="1"/>
      <c r="AL74" s="1">
        <v>13</v>
      </c>
      <c r="AM74" s="1">
        <v>12</v>
      </c>
      <c r="AN74" s="1"/>
      <c r="AO74" s="1"/>
      <c r="AP74" s="1"/>
      <c r="AQ74" s="1">
        <f t="shared" si="44"/>
        <v>12.666666666666666</v>
      </c>
      <c r="AR74" s="1"/>
      <c r="AS74" s="12">
        <f t="shared" si="45"/>
        <v>12.666666666666666</v>
      </c>
      <c r="AT74" s="1"/>
      <c r="AU74" s="1"/>
      <c r="AV74" s="1"/>
      <c r="AW74" s="1"/>
      <c r="AX74" s="1"/>
      <c r="AY74" s="1"/>
      <c r="AZ74" s="1">
        <v>4.5</v>
      </c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>
        <f t="shared" si="41"/>
        <v>4.5</v>
      </c>
      <c r="BN74" s="12">
        <f t="shared" si="38"/>
        <v>4.5</v>
      </c>
      <c r="BO74" s="1"/>
      <c r="BP74" s="1"/>
      <c r="BQ74" s="1"/>
      <c r="BR74" s="1">
        <v>284.5</v>
      </c>
      <c r="BS74" s="1"/>
      <c r="BT74" s="1"/>
      <c r="BU74" s="1"/>
      <c r="BV74" s="1">
        <v>293</v>
      </c>
      <c r="BW74" s="1">
        <v>276</v>
      </c>
      <c r="BX74" s="1"/>
      <c r="BY74" s="1">
        <f t="shared" si="46"/>
        <v>284.5</v>
      </c>
      <c r="BZ74" s="1">
        <f t="shared" si="47"/>
        <v>0.28449999999999998</v>
      </c>
      <c r="CA74" s="1">
        <f t="shared" si="48"/>
        <v>284.5</v>
      </c>
      <c r="CB74" s="12">
        <f t="shared" si="49"/>
        <v>0.28449999999999998</v>
      </c>
      <c r="CC74" s="13">
        <f t="shared" si="28"/>
        <v>1.2802499999999999</v>
      </c>
      <c r="CD74" s="6"/>
      <c r="CE74" s="6"/>
      <c r="CF74" s="6"/>
      <c r="CG74" s="6"/>
      <c r="CH74" s="6"/>
      <c r="CI74" s="6"/>
      <c r="CJ74" s="13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</row>
    <row r="75" spans="1:160" x14ac:dyDescent="0.3">
      <c r="A75" s="6" t="s">
        <v>157</v>
      </c>
      <c r="B75" s="10" t="s">
        <v>157</v>
      </c>
      <c r="C75" s="10" t="s">
        <v>158</v>
      </c>
      <c r="D75" s="6" t="s">
        <v>158</v>
      </c>
      <c r="E75" s="7"/>
      <c r="F75" s="7"/>
      <c r="G75" s="7"/>
      <c r="H75" s="7"/>
      <c r="I75" s="1"/>
      <c r="J75" s="1"/>
      <c r="K75" s="1">
        <v>12</v>
      </c>
      <c r="L75" s="1"/>
      <c r="M75" s="1"/>
      <c r="N75" s="1"/>
      <c r="O75" s="1">
        <v>11</v>
      </c>
      <c r="P75" s="1"/>
      <c r="Q75" s="12"/>
      <c r="R75" s="1"/>
      <c r="S75" s="1"/>
      <c r="T75" s="1">
        <v>11.5</v>
      </c>
      <c r="U75" s="1">
        <v>12</v>
      </c>
      <c r="V75" s="1">
        <v>11</v>
      </c>
      <c r="W75" s="1">
        <f>AVERAGE(X75:Y75)</f>
        <v>11.5</v>
      </c>
      <c r="X75" s="1">
        <v>11.5</v>
      </c>
      <c r="Y75" s="1"/>
      <c r="Z75" s="1"/>
      <c r="AA75" s="1"/>
      <c r="AB75" s="1"/>
      <c r="AC75" s="1"/>
      <c r="AD75" s="1"/>
      <c r="AE75" s="1">
        <f t="shared" si="42"/>
        <v>11.5</v>
      </c>
      <c r="AF75" s="1">
        <f t="shared" si="51"/>
        <v>11.5</v>
      </c>
      <c r="AG75" s="1">
        <f t="shared" si="43"/>
        <v>11.5</v>
      </c>
      <c r="AH75" s="1">
        <v>13</v>
      </c>
      <c r="AI75" s="1">
        <v>15</v>
      </c>
      <c r="AJ75" s="1">
        <v>14</v>
      </c>
      <c r="AK75" s="1">
        <v>15</v>
      </c>
      <c r="AL75" s="1">
        <v>14</v>
      </c>
      <c r="AM75" s="1">
        <v>14.5</v>
      </c>
      <c r="AN75" s="1"/>
      <c r="AO75" s="1"/>
      <c r="AP75" s="1"/>
      <c r="AQ75" s="1">
        <f t="shared" si="44"/>
        <v>14.25</v>
      </c>
      <c r="AR75" s="1"/>
      <c r="AS75" s="12">
        <f t="shared" si="45"/>
        <v>14.25</v>
      </c>
      <c r="AT75" s="1">
        <v>6</v>
      </c>
      <c r="AU75" s="1"/>
      <c r="AV75" s="1"/>
      <c r="AW75" s="1"/>
      <c r="AX75" s="1"/>
      <c r="AY75" s="1"/>
      <c r="AZ75" s="1">
        <v>6.3</v>
      </c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>
        <f>AVERAGE(AT75:AU75)</f>
        <v>6</v>
      </c>
      <c r="BM75" s="1">
        <f t="shared" si="41"/>
        <v>6.3</v>
      </c>
      <c r="BN75" s="12">
        <f t="shared" si="38"/>
        <v>6.15</v>
      </c>
      <c r="BO75" s="1"/>
      <c r="BP75" s="1"/>
      <c r="BQ75" s="1">
        <v>226.79599999999999</v>
      </c>
      <c r="BR75" s="1">
        <v>280</v>
      </c>
      <c r="BS75" s="1"/>
      <c r="BT75" s="1"/>
      <c r="BU75" s="1"/>
      <c r="BV75" s="1">
        <v>280</v>
      </c>
      <c r="BW75" s="1"/>
      <c r="BX75" s="1">
        <v>226.79599999999999</v>
      </c>
      <c r="BY75" s="1">
        <f t="shared" si="46"/>
        <v>280</v>
      </c>
      <c r="BZ75" s="1">
        <f t="shared" si="47"/>
        <v>0.28000000000000003</v>
      </c>
      <c r="CA75" s="1">
        <f t="shared" si="48"/>
        <v>253.398</v>
      </c>
      <c r="CB75" s="12">
        <f t="shared" si="49"/>
        <v>0.25339800000000001</v>
      </c>
      <c r="CC75" s="13">
        <f t="shared" si="28"/>
        <v>1.5583977000000002</v>
      </c>
      <c r="CD75" s="6"/>
      <c r="CE75" s="6"/>
      <c r="CF75" s="6"/>
      <c r="CG75" s="6"/>
      <c r="CH75" s="6"/>
      <c r="CI75" s="6"/>
      <c r="CJ75" s="13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</row>
    <row r="76" spans="1:160" x14ac:dyDescent="0.3">
      <c r="A76" s="6" t="s">
        <v>159</v>
      </c>
      <c r="B76" s="10" t="s">
        <v>159</v>
      </c>
      <c r="C76" s="10" t="s">
        <v>160</v>
      </c>
      <c r="D76" s="6" t="s">
        <v>161</v>
      </c>
      <c r="E76" s="7"/>
      <c r="F76" s="7"/>
      <c r="G76" s="7"/>
      <c r="H76" s="7"/>
      <c r="I76" s="1"/>
      <c r="J76" s="1"/>
      <c r="K76" s="1">
        <v>32</v>
      </c>
      <c r="L76" s="1"/>
      <c r="M76" s="1"/>
      <c r="N76" s="1"/>
      <c r="O76" s="1">
        <v>27</v>
      </c>
      <c r="P76" s="1"/>
      <c r="Q76" s="12"/>
      <c r="R76" s="1"/>
      <c r="S76" s="1"/>
      <c r="T76" s="1">
        <v>29.5</v>
      </c>
      <c r="U76" s="1">
        <v>32</v>
      </c>
      <c r="V76" s="1">
        <v>27</v>
      </c>
      <c r="W76" s="1"/>
      <c r="X76" s="1"/>
      <c r="Y76" s="1"/>
      <c r="Z76" s="1"/>
      <c r="AA76" s="1">
        <v>32</v>
      </c>
      <c r="AB76" s="1"/>
      <c r="AC76" s="1"/>
      <c r="AD76" s="1">
        <v>25.85</v>
      </c>
      <c r="AE76" s="1">
        <f t="shared" si="42"/>
        <v>29.5</v>
      </c>
      <c r="AF76" s="1">
        <f t="shared" si="51"/>
        <v>28.925000000000001</v>
      </c>
      <c r="AG76" s="1">
        <f t="shared" si="43"/>
        <v>29.212499999999999</v>
      </c>
      <c r="AH76" s="1">
        <v>12</v>
      </c>
      <c r="AI76" s="1">
        <v>15</v>
      </c>
      <c r="AJ76" s="1">
        <v>11</v>
      </c>
      <c r="AK76" s="1">
        <v>15</v>
      </c>
      <c r="AL76" s="1">
        <v>13.5</v>
      </c>
      <c r="AM76" s="1">
        <v>13</v>
      </c>
      <c r="AN76" s="1"/>
      <c r="AO76" s="1"/>
      <c r="AP76" s="1">
        <v>11.8</v>
      </c>
      <c r="AQ76" s="1">
        <f t="shared" si="44"/>
        <v>13.25</v>
      </c>
      <c r="AR76" s="1">
        <f>AVERAGE(AN76:AP76)</f>
        <v>11.8</v>
      </c>
      <c r="AS76" s="12">
        <f t="shared" si="45"/>
        <v>12.525</v>
      </c>
      <c r="AT76" s="1"/>
      <c r="AU76" s="1"/>
      <c r="AV76" s="1"/>
      <c r="AW76" s="1"/>
      <c r="AX76" s="1"/>
      <c r="AY76" s="1"/>
      <c r="AZ76" s="1">
        <v>7.1</v>
      </c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>
        <f t="shared" si="41"/>
        <v>7.1</v>
      </c>
      <c r="BN76" s="12">
        <f t="shared" si="38"/>
        <v>7.1</v>
      </c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2"/>
      <c r="CC76" s="13">
        <f t="shared" si="28"/>
        <v>0</v>
      </c>
      <c r="CD76" s="6"/>
      <c r="CE76" s="6"/>
      <c r="CF76" s="6"/>
      <c r="CG76" s="6"/>
      <c r="CH76" s="6"/>
      <c r="CI76" s="6"/>
      <c r="CJ76" s="13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</row>
    <row r="77" spans="1:160" x14ac:dyDescent="0.3">
      <c r="A77" s="6" t="s">
        <v>162</v>
      </c>
      <c r="B77" s="10" t="s">
        <v>162</v>
      </c>
      <c r="C77" s="10" t="s">
        <v>163</v>
      </c>
      <c r="D77" s="6" t="s">
        <v>163</v>
      </c>
      <c r="E77" s="7">
        <v>3.175144</v>
      </c>
      <c r="F77" s="7">
        <v>6.3502879999999999</v>
      </c>
      <c r="G77" s="7">
        <v>2.2999999999999998</v>
      </c>
      <c r="H77" s="7">
        <v>7</v>
      </c>
      <c r="I77" s="1"/>
      <c r="J77" s="1"/>
      <c r="K77" s="1"/>
      <c r="L77" s="1"/>
      <c r="M77" s="1"/>
      <c r="N77" s="1"/>
      <c r="O77" s="1"/>
      <c r="P77" s="1"/>
      <c r="Q77" s="12">
        <v>4.7627160000000002</v>
      </c>
      <c r="R77" s="1"/>
      <c r="S77" s="1"/>
      <c r="T77" s="1">
        <v>4.6500000000000004</v>
      </c>
      <c r="U77" s="1"/>
      <c r="V77" s="1"/>
      <c r="W77" s="1">
        <f>AVERAGE(X77:Y77)</f>
        <v>4</v>
      </c>
      <c r="X77" s="1">
        <v>4</v>
      </c>
      <c r="Y77" s="1">
        <v>4</v>
      </c>
      <c r="Z77" s="1"/>
      <c r="AA77" s="1"/>
      <c r="AB77" s="1">
        <v>4.7629999999999999</v>
      </c>
      <c r="AC77" s="1"/>
      <c r="AD77" s="1"/>
      <c r="AE77" s="1">
        <f t="shared" si="42"/>
        <v>4.7063579999999998</v>
      </c>
      <c r="AF77" s="1">
        <f t="shared" si="51"/>
        <v>4.2543333333333333</v>
      </c>
      <c r="AG77" s="1">
        <f t="shared" si="43"/>
        <v>4.4803456666666666</v>
      </c>
      <c r="AH77" s="1">
        <v>14</v>
      </c>
      <c r="AI77" s="1">
        <v>15</v>
      </c>
      <c r="AJ77" s="1">
        <v>13</v>
      </c>
      <c r="AK77" s="1">
        <v>14</v>
      </c>
      <c r="AL77" s="1">
        <v>14.5</v>
      </c>
      <c r="AM77" s="1">
        <v>13.5</v>
      </c>
      <c r="AN77" s="1"/>
      <c r="AO77" s="1"/>
      <c r="AP77" s="1"/>
      <c r="AQ77" s="1">
        <f t="shared" si="44"/>
        <v>14</v>
      </c>
      <c r="AR77" s="1"/>
      <c r="AS77" s="12">
        <f t="shared" si="45"/>
        <v>14</v>
      </c>
      <c r="AT77" s="1">
        <v>3.5</v>
      </c>
      <c r="AU77" s="1"/>
      <c r="AV77" s="1"/>
      <c r="AW77" s="1"/>
      <c r="AX77" s="1"/>
      <c r="AY77" s="1"/>
      <c r="AZ77" s="1">
        <v>3.3</v>
      </c>
      <c r="BA77" s="1"/>
      <c r="BB77" s="1"/>
      <c r="BC77" s="1"/>
      <c r="BD77" s="1"/>
      <c r="BE77" s="1">
        <v>3</v>
      </c>
      <c r="BF77" s="1"/>
      <c r="BG77" s="1"/>
      <c r="BH77" s="1"/>
      <c r="BI77" s="1"/>
      <c r="BJ77" s="1"/>
      <c r="BK77" s="1"/>
      <c r="BL77" s="1">
        <f>AVERAGE(AT77:AU77)</f>
        <v>3.5</v>
      </c>
      <c r="BM77" s="1">
        <f t="shared" si="41"/>
        <v>3.15</v>
      </c>
      <c r="BN77" s="12">
        <f t="shared" si="38"/>
        <v>3.2666666666666671</v>
      </c>
      <c r="BO77" s="1"/>
      <c r="BP77" s="1"/>
      <c r="BQ77" s="1">
        <v>141.7475</v>
      </c>
      <c r="BR77" s="1">
        <v>146.5</v>
      </c>
      <c r="BS77" s="1"/>
      <c r="BT77" s="1">
        <v>185</v>
      </c>
      <c r="BU77" s="1"/>
      <c r="BV77" s="1">
        <v>146</v>
      </c>
      <c r="BW77" s="1">
        <v>147</v>
      </c>
      <c r="BX77" s="1">
        <v>141.7475</v>
      </c>
      <c r="BY77" s="1">
        <f>AVERAGE(BR77:BU77)</f>
        <v>165.75</v>
      </c>
      <c r="BZ77" s="1">
        <f>BY77/1000</f>
        <v>0.16575000000000001</v>
      </c>
      <c r="CA77" s="1">
        <f>AVERAGE(BQ77:BU77)</f>
        <v>157.74916666666667</v>
      </c>
      <c r="CB77" s="12">
        <f>CA77/1000</f>
        <v>0.15774916666666666</v>
      </c>
      <c r="CC77" s="13">
        <f t="shared" si="28"/>
        <v>0.51531394444444445</v>
      </c>
      <c r="CD77" s="6"/>
      <c r="CE77" s="6"/>
      <c r="CF77" s="6"/>
      <c r="CG77" s="6"/>
      <c r="CH77" s="6"/>
      <c r="CI77" s="6"/>
      <c r="CJ77" s="13">
        <f>((Q77-CB77)/CB77)*100</f>
        <v>2919.1703072916389</v>
      </c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</row>
    <row r="78" spans="1:160" x14ac:dyDescent="0.3">
      <c r="A78" s="6" t="s">
        <v>164</v>
      </c>
      <c r="B78" s="10" t="s">
        <v>164</v>
      </c>
      <c r="C78" s="10" t="s">
        <v>165</v>
      </c>
      <c r="D78" s="6" t="s">
        <v>165</v>
      </c>
      <c r="E78" s="7"/>
      <c r="F78" s="7"/>
      <c r="G78" s="7">
        <v>48</v>
      </c>
      <c r="H78" s="7">
        <v>93</v>
      </c>
      <c r="I78" s="1"/>
      <c r="J78" s="1"/>
      <c r="K78" s="1"/>
      <c r="L78" s="1"/>
      <c r="M78" s="1"/>
      <c r="N78" s="1"/>
      <c r="O78" s="1"/>
      <c r="P78" s="1"/>
      <c r="Q78" s="12"/>
      <c r="R78" s="1"/>
      <c r="S78" s="1"/>
      <c r="T78" s="1">
        <v>70.5</v>
      </c>
      <c r="U78" s="1"/>
      <c r="V78" s="1"/>
      <c r="W78" s="1">
        <f>AVERAGE(X78:Y78)</f>
        <v>54.5</v>
      </c>
      <c r="X78" s="1">
        <v>54.5</v>
      </c>
      <c r="Y78" s="1"/>
      <c r="Z78" s="1"/>
      <c r="AA78" s="1">
        <v>54</v>
      </c>
      <c r="AB78" s="1"/>
      <c r="AC78" s="1">
        <v>52.4</v>
      </c>
      <c r="AD78" s="1"/>
      <c r="AE78" s="1">
        <f t="shared" si="42"/>
        <v>70.5</v>
      </c>
      <c r="AF78" s="1">
        <f t="shared" si="51"/>
        <v>53.633333333333333</v>
      </c>
      <c r="AG78" s="1">
        <f t="shared" si="43"/>
        <v>62.066666666666663</v>
      </c>
      <c r="AH78" s="1">
        <v>6</v>
      </c>
      <c r="AI78" s="1">
        <v>8</v>
      </c>
      <c r="AJ78" s="1">
        <v>6</v>
      </c>
      <c r="AK78" s="1">
        <v>8</v>
      </c>
      <c r="AL78" s="1">
        <v>7</v>
      </c>
      <c r="AM78" s="1">
        <v>7</v>
      </c>
      <c r="AN78" s="1"/>
      <c r="AO78" s="1"/>
      <c r="AP78" s="1">
        <v>6.2</v>
      </c>
      <c r="AQ78" s="1">
        <f t="shared" si="44"/>
        <v>7</v>
      </c>
      <c r="AR78" s="1">
        <f>AVERAGE(AN78:AP78)</f>
        <v>6.2</v>
      </c>
      <c r="AS78" s="12">
        <f t="shared" si="45"/>
        <v>6.6</v>
      </c>
      <c r="AT78" s="1"/>
      <c r="AU78" s="1"/>
      <c r="AV78" s="1"/>
      <c r="AW78" s="1"/>
      <c r="AX78" s="1"/>
      <c r="AY78" s="1"/>
      <c r="AZ78" s="1">
        <v>6.8</v>
      </c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>
        <f t="shared" si="41"/>
        <v>6.8</v>
      </c>
      <c r="BN78" s="12">
        <f t="shared" ref="BN78:BN109" si="52">AVERAGE(AT78:BK78)</f>
        <v>6.8</v>
      </c>
      <c r="BO78" s="1"/>
      <c r="BP78" s="1"/>
      <c r="BQ78" s="1"/>
      <c r="BR78" s="1">
        <v>568</v>
      </c>
      <c r="BS78" s="1"/>
      <c r="BT78" s="1"/>
      <c r="BU78" s="1"/>
      <c r="BV78" s="1">
        <v>568</v>
      </c>
      <c r="BW78" s="1"/>
      <c r="BX78" s="1"/>
      <c r="BY78" s="1">
        <f>AVERAGE(BR78:BU78)</f>
        <v>568</v>
      </c>
      <c r="BZ78" s="1">
        <f>BY78/1000</f>
        <v>0.56799999999999995</v>
      </c>
      <c r="CA78" s="1">
        <f>AVERAGE(BQ78:BU78)</f>
        <v>568</v>
      </c>
      <c r="CB78" s="12">
        <f>CA78/1000</f>
        <v>0.56799999999999995</v>
      </c>
      <c r="CC78" s="13">
        <f t="shared" si="28"/>
        <v>3.8623999999999996</v>
      </c>
      <c r="CD78" s="6">
        <v>15.3</v>
      </c>
      <c r="CE78" s="6"/>
      <c r="CF78" s="6">
        <f>AVERAGE(CD78:CE78)</f>
        <v>15.3</v>
      </c>
      <c r="CG78" s="6">
        <v>49.1</v>
      </c>
      <c r="CH78" s="6"/>
      <c r="CI78" s="6">
        <v>49.1</v>
      </c>
      <c r="CJ78" s="13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</row>
    <row r="79" spans="1:160" x14ac:dyDescent="0.3">
      <c r="A79" s="6" t="s">
        <v>166</v>
      </c>
      <c r="B79" s="10" t="s">
        <v>166</v>
      </c>
      <c r="C79" s="10" t="s">
        <v>167</v>
      </c>
      <c r="D79" s="6" t="s">
        <v>167</v>
      </c>
      <c r="E79" s="7"/>
      <c r="F79" s="7"/>
      <c r="G79" s="7"/>
      <c r="H79" s="7"/>
      <c r="I79" s="1">
        <v>24.947559999999999</v>
      </c>
      <c r="J79" s="1">
        <v>30.844256000000001</v>
      </c>
      <c r="K79" s="1">
        <v>25</v>
      </c>
      <c r="L79" s="1">
        <v>29.5</v>
      </c>
      <c r="M79" s="1">
        <v>20.411639999999998</v>
      </c>
      <c r="N79" s="1">
        <v>26.308336000000001</v>
      </c>
      <c r="O79" s="1">
        <v>20.5</v>
      </c>
      <c r="P79" s="1">
        <v>26</v>
      </c>
      <c r="Q79" s="12">
        <v>25.627948</v>
      </c>
      <c r="R79" s="1">
        <v>27.895907999999999</v>
      </c>
      <c r="S79" s="1">
        <v>23.359988000000001</v>
      </c>
      <c r="T79" s="1">
        <v>25.25</v>
      </c>
      <c r="U79" s="1">
        <v>27.25</v>
      </c>
      <c r="V79" s="1">
        <v>23.25</v>
      </c>
      <c r="W79" s="1"/>
      <c r="X79" s="1"/>
      <c r="Y79" s="1"/>
      <c r="Z79" s="1"/>
      <c r="AA79" s="1"/>
      <c r="AB79" s="1"/>
      <c r="AC79" s="1"/>
      <c r="AD79" s="1"/>
      <c r="AE79" s="1">
        <f t="shared" si="42"/>
        <v>25.438973999999998</v>
      </c>
      <c r="AF79" s="1"/>
      <c r="AG79" s="1">
        <f t="shared" si="43"/>
        <v>25.438973999999998</v>
      </c>
      <c r="AH79" s="1">
        <v>12</v>
      </c>
      <c r="AI79" s="1">
        <v>13</v>
      </c>
      <c r="AJ79" s="1">
        <v>12</v>
      </c>
      <c r="AK79" s="1">
        <v>14</v>
      </c>
      <c r="AL79" s="1">
        <v>12.5</v>
      </c>
      <c r="AM79" s="1">
        <v>13</v>
      </c>
      <c r="AN79" s="1"/>
      <c r="AO79" s="1"/>
      <c r="AP79" s="1"/>
      <c r="AQ79" s="1">
        <f t="shared" si="44"/>
        <v>12.75</v>
      </c>
      <c r="AR79" s="1"/>
      <c r="AS79" s="12">
        <f t="shared" si="45"/>
        <v>12.75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>
        <v>7.5</v>
      </c>
      <c r="BK79" s="1">
        <v>8</v>
      </c>
      <c r="BL79" s="1"/>
      <c r="BM79" s="1"/>
      <c r="BN79" s="12">
        <f t="shared" si="52"/>
        <v>7.75</v>
      </c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2"/>
      <c r="CC79" s="13">
        <f t="shared" si="28"/>
        <v>0</v>
      </c>
      <c r="CD79" s="6"/>
      <c r="CE79" s="6"/>
      <c r="CF79" s="6"/>
      <c r="CG79" s="6"/>
      <c r="CH79" s="6"/>
      <c r="CI79" s="6"/>
      <c r="CJ79" s="13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</row>
    <row r="80" spans="1:160" x14ac:dyDescent="0.3">
      <c r="A80" s="6" t="s">
        <v>168</v>
      </c>
      <c r="B80" s="10" t="s">
        <v>168</v>
      </c>
      <c r="C80" s="10" t="s">
        <v>169</v>
      </c>
      <c r="D80" s="6" t="s">
        <v>169</v>
      </c>
      <c r="E80" s="7"/>
      <c r="F80" s="7"/>
      <c r="G80" s="7"/>
      <c r="H80" s="7"/>
      <c r="I80" s="1"/>
      <c r="J80" s="1"/>
      <c r="K80" s="1"/>
      <c r="L80" s="1"/>
      <c r="M80" s="1"/>
      <c r="N80" s="1"/>
      <c r="O80" s="1"/>
      <c r="P80" s="1"/>
      <c r="Q80" s="1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>
        <v>13.4</v>
      </c>
      <c r="AP80" s="1">
        <v>13.6</v>
      </c>
      <c r="AQ80" s="1"/>
      <c r="AR80" s="1">
        <f>AVERAGE(AN80:AP80)</f>
        <v>13.5</v>
      </c>
      <c r="AS80" s="12">
        <f t="shared" si="45"/>
        <v>13.5</v>
      </c>
      <c r="AT80" s="1"/>
      <c r="AU80" s="1"/>
      <c r="AV80" s="1"/>
      <c r="AW80" s="1"/>
      <c r="AX80" s="1"/>
      <c r="AY80" s="1">
        <v>4.67</v>
      </c>
      <c r="AZ80" s="1">
        <v>4.4000000000000004</v>
      </c>
      <c r="BA80" s="1"/>
      <c r="BB80" s="1"/>
      <c r="BC80" s="1"/>
      <c r="BD80" s="1"/>
      <c r="BE80" s="1">
        <v>5</v>
      </c>
      <c r="BF80" s="1">
        <v>3</v>
      </c>
      <c r="BG80" s="1"/>
      <c r="BH80" s="1">
        <v>4.08</v>
      </c>
      <c r="BI80" s="1"/>
      <c r="BJ80" s="1"/>
      <c r="BK80" s="1"/>
      <c r="BL80" s="1"/>
      <c r="BM80" s="1">
        <f>AVERAGE(AV80:BI80)</f>
        <v>4.2299999999999995</v>
      </c>
      <c r="BN80" s="12">
        <f t="shared" si="52"/>
        <v>4.2299999999999995</v>
      </c>
      <c r="BO80" s="1"/>
      <c r="BP80" s="1"/>
      <c r="BQ80" s="1"/>
      <c r="BR80" s="1"/>
      <c r="BS80" s="1"/>
      <c r="BT80" s="1">
        <v>200</v>
      </c>
      <c r="BU80" s="1"/>
      <c r="BV80" s="1"/>
      <c r="BW80" s="1"/>
      <c r="BX80" s="1"/>
      <c r="BY80" s="1">
        <f>AVERAGE(BR80:BU80)</f>
        <v>200</v>
      </c>
      <c r="BZ80" s="1">
        <f>BY80/1000</f>
        <v>0.2</v>
      </c>
      <c r="CA80" s="1">
        <f>AVERAGE(BQ80:BU80)</f>
        <v>200</v>
      </c>
      <c r="CB80" s="12">
        <f>CA80/1000</f>
        <v>0.2</v>
      </c>
      <c r="CC80" s="13">
        <f t="shared" si="28"/>
        <v>0.84599999999999997</v>
      </c>
      <c r="CD80" s="6"/>
      <c r="CE80" s="6"/>
      <c r="CF80" s="6"/>
      <c r="CG80" s="6"/>
      <c r="CH80" s="6"/>
      <c r="CI80" s="6"/>
      <c r="CJ80" s="13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</row>
    <row r="81" spans="1:160" x14ac:dyDescent="0.3">
      <c r="A81" s="6" t="s">
        <v>170</v>
      </c>
      <c r="B81" s="10" t="s">
        <v>170</v>
      </c>
      <c r="C81" s="10" t="s">
        <v>171</v>
      </c>
      <c r="D81" s="6" t="s">
        <v>171</v>
      </c>
      <c r="E81" s="7">
        <v>15.875719999999999</v>
      </c>
      <c r="F81" s="7">
        <v>20.411639999999998</v>
      </c>
      <c r="G81" s="7">
        <v>25</v>
      </c>
      <c r="H81" s="7">
        <v>29.5</v>
      </c>
      <c r="I81" s="1"/>
      <c r="J81" s="1"/>
      <c r="K81" s="1"/>
      <c r="L81" s="1"/>
      <c r="M81" s="1"/>
      <c r="N81" s="1"/>
      <c r="O81" s="1"/>
      <c r="P81" s="1"/>
      <c r="Q81" s="12">
        <v>18.14368</v>
      </c>
      <c r="R81" s="1"/>
      <c r="S81" s="1"/>
      <c r="T81" s="1">
        <v>27.25</v>
      </c>
      <c r="U81" s="1"/>
      <c r="V81" s="1"/>
      <c r="W81" s="1">
        <f>AVERAGE(X81:Y81)</f>
        <v>19.28</v>
      </c>
      <c r="X81" s="1">
        <v>19.28</v>
      </c>
      <c r="Y81" s="1"/>
      <c r="Z81" s="1"/>
      <c r="AA81" s="1">
        <v>18</v>
      </c>
      <c r="AB81" s="1">
        <v>15.65</v>
      </c>
      <c r="AC81" s="1"/>
      <c r="AD81" s="1">
        <v>18.14</v>
      </c>
      <c r="AE81" s="1">
        <f t="shared" ref="AE81:AE87" si="53">AVERAGE(E81:P81)</f>
        <v>22.696840000000002</v>
      </c>
      <c r="AF81" s="1">
        <f>AVERAGE(X81:AD81)</f>
        <v>17.767499999999998</v>
      </c>
      <c r="AG81" s="1">
        <f t="shared" ref="AG81:AG87" si="54">AVERAGE(AE81:AF81)</f>
        <v>20.23217</v>
      </c>
      <c r="AH81" s="1">
        <v>12</v>
      </c>
      <c r="AI81" s="1">
        <v>15</v>
      </c>
      <c r="AJ81" s="1">
        <v>12</v>
      </c>
      <c r="AK81" s="1">
        <v>14</v>
      </c>
      <c r="AL81" s="1">
        <v>13.5</v>
      </c>
      <c r="AM81" s="1">
        <v>13</v>
      </c>
      <c r="AN81" s="1"/>
      <c r="AO81" s="1"/>
      <c r="AP81" s="1"/>
      <c r="AQ81" s="1">
        <f t="shared" ref="AQ81:AQ87" si="55">AVERAGE(AH81:AK81)</f>
        <v>13.25</v>
      </c>
      <c r="AR81" s="1"/>
      <c r="AS81" s="12">
        <f t="shared" si="45"/>
        <v>13.25</v>
      </c>
      <c r="AT81" s="1"/>
      <c r="AU81" s="1"/>
      <c r="AV81" s="1"/>
      <c r="AW81" s="1"/>
      <c r="AX81" s="1"/>
      <c r="AY81" s="1"/>
      <c r="AZ81" s="1">
        <v>5.5</v>
      </c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>
        <f>AVERAGE(AV81:BI81)</f>
        <v>5.5</v>
      </c>
      <c r="BN81" s="12">
        <f t="shared" si="52"/>
        <v>5.5</v>
      </c>
      <c r="BO81" s="1"/>
      <c r="BP81" s="1"/>
      <c r="BQ81" s="1"/>
      <c r="BR81" s="1">
        <v>255</v>
      </c>
      <c r="BS81" s="1"/>
      <c r="BT81" s="1"/>
      <c r="BU81" s="1"/>
      <c r="BV81" s="1">
        <v>255</v>
      </c>
      <c r="BW81" s="1"/>
      <c r="BX81" s="1"/>
      <c r="BY81" s="1">
        <f>AVERAGE(BR81:BU81)</f>
        <v>255</v>
      </c>
      <c r="BZ81" s="1">
        <f>BY81/1000</f>
        <v>0.255</v>
      </c>
      <c r="CA81" s="1">
        <f>AVERAGE(BQ81:BU81)</f>
        <v>255</v>
      </c>
      <c r="CB81" s="12">
        <f>CA81/1000</f>
        <v>0.255</v>
      </c>
      <c r="CC81" s="13">
        <f t="shared" si="28"/>
        <v>1.4025000000000001</v>
      </c>
      <c r="CD81" s="6"/>
      <c r="CE81" s="6"/>
      <c r="CF81" s="6"/>
      <c r="CG81" s="6"/>
      <c r="CH81" s="6"/>
      <c r="CI81" s="6"/>
      <c r="CJ81" s="13">
        <f>((Q81-CB81)/CB81)*100</f>
        <v>7015.1686274509802</v>
      </c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</row>
    <row r="82" spans="1:160" x14ac:dyDescent="0.3">
      <c r="A82" s="6" t="s">
        <v>172</v>
      </c>
      <c r="B82" s="10" t="s">
        <v>172</v>
      </c>
      <c r="C82" s="10" t="s">
        <v>173</v>
      </c>
      <c r="D82" s="6" t="s">
        <v>174</v>
      </c>
      <c r="E82" s="7">
        <v>12.700576</v>
      </c>
      <c r="F82" s="7">
        <v>27.215520000000001</v>
      </c>
      <c r="G82" s="7"/>
      <c r="H82" s="7"/>
      <c r="I82" s="1"/>
      <c r="J82" s="1"/>
      <c r="K82" s="1"/>
      <c r="L82" s="1"/>
      <c r="M82" s="1"/>
      <c r="N82" s="1"/>
      <c r="O82" s="1"/>
      <c r="P82" s="1"/>
      <c r="Q82" s="12">
        <v>19.958048000000002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>
        <f t="shared" si="53"/>
        <v>19.958048000000002</v>
      </c>
      <c r="AF82" s="1"/>
      <c r="AG82" s="1">
        <f t="shared" si="54"/>
        <v>19.958048000000002</v>
      </c>
      <c r="AH82" s="1">
        <v>10</v>
      </c>
      <c r="AI82" s="1">
        <v>15</v>
      </c>
      <c r="AJ82" s="1"/>
      <c r="AK82" s="1"/>
      <c r="AL82" s="1">
        <v>12.5</v>
      </c>
      <c r="AM82" s="1"/>
      <c r="AN82" s="1"/>
      <c r="AO82" s="1"/>
      <c r="AP82" s="1"/>
      <c r="AQ82" s="1">
        <f t="shared" si="55"/>
        <v>12.5</v>
      </c>
      <c r="AR82" s="1"/>
      <c r="AS82" s="12">
        <f t="shared" si="45"/>
        <v>12.5</v>
      </c>
      <c r="AT82" s="1"/>
      <c r="AU82" s="1"/>
      <c r="AV82" s="1"/>
      <c r="AW82" s="1"/>
      <c r="AX82" s="1"/>
      <c r="AY82" s="1"/>
      <c r="AZ82" s="1">
        <v>5.2</v>
      </c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>
        <f>AVERAGE(AV82:BI82)</f>
        <v>5.2</v>
      </c>
      <c r="BN82" s="12">
        <f t="shared" si="52"/>
        <v>5.2</v>
      </c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2"/>
      <c r="CC82" s="13">
        <f t="shared" si="28"/>
        <v>0</v>
      </c>
      <c r="CD82" s="6"/>
      <c r="CE82" s="6"/>
      <c r="CF82" s="6"/>
      <c r="CG82" s="6"/>
      <c r="CH82" s="6"/>
      <c r="CI82" s="6"/>
      <c r="CJ82" s="13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</row>
    <row r="83" spans="1:160" x14ac:dyDescent="0.3">
      <c r="A83" s="6" t="s">
        <v>175</v>
      </c>
      <c r="B83" s="10" t="s">
        <v>175</v>
      </c>
      <c r="C83" s="10" t="s">
        <v>176</v>
      </c>
      <c r="D83" s="6" t="s">
        <v>176</v>
      </c>
      <c r="E83" s="7"/>
      <c r="F83" s="7"/>
      <c r="G83" s="7"/>
      <c r="H83" s="7"/>
      <c r="I83" s="1"/>
      <c r="J83" s="1"/>
      <c r="K83" s="1">
        <v>45.5</v>
      </c>
      <c r="L83" s="1"/>
      <c r="M83" s="1"/>
      <c r="N83" s="1"/>
      <c r="O83" s="1">
        <v>36.5</v>
      </c>
      <c r="P83" s="1"/>
      <c r="Q83" s="12"/>
      <c r="R83" s="1"/>
      <c r="S83" s="1"/>
      <c r="T83" s="1">
        <v>41</v>
      </c>
      <c r="U83" s="1">
        <v>45.5</v>
      </c>
      <c r="V83" s="1">
        <v>36.5</v>
      </c>
      <c r="W83" s="1"/>
      <c r="X83" s="1"/>
      <c r="Y83" s="1"/>
      <c r="Z83" s="1"/>
      <c r="AA83" s="1"/>
      <c r="AB83" s="1"/>
      <c r="AC83" s="1"/>
      <c r="AD83" s="1"/>
      <c r="AE83" s="1">
        <f t="shared" si="53"/>
        <v>41</v>
      </c>
      <c r="AF83" s="1"/>
      <c r="AG83" s="1">
        <f t="shared" si="54"/>
        <v>41</v>
      </c>
      <c r="AH83" s="1">
        <v>10</v>
      </c>
      <c r="AI83" s="1">
        <v>12</v>
      </c>
      <c r="AJ83" s="1">
        <v>12</v>
      </c>
      <c r="AK83" s="1"/>
      <c r="AL83" s="1">
        <v>11</v>
      </c>
      <c r="AM83" s="1">
        <v>12</v>
      </c>
      <c r="AN83" s="1"/>
      <c r="AO83" s="1"/>
      <c r="AP83" s="1"/>
      <c r="AQ83" s="1">
        <f t="shared" si="55"/>
        <v>11.333333333333334</v>
      </c>
      <c r="AR83" s="1"/>
      <c r="AS83" s="12">
        <f t="shared" si="45"/>
        <v>11.333333333333334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>
        <v>9</v>
      </c>
      <c r="BK83" s="1">
        <v>8</v>
      </c>
      <c r="BL83" s="1"/>
      <c r="BM83" s="1"/>
      <c r="BN83" s="12">
        <f t="shared" si="52"/>
        <v>8.5</v>
      </c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2"/>
      <c r="CC83" s="13">
        <f t="shared" si="28"/>
        <v>0</v>
      </c>
      <c r="CD83" s="6"/>
      <c r="CE83" s="6"/>
      <c r="CF83" s="6"/>
      <c r="CG83" s="6"/>
      <c r="CH83" s="6"/>
      <c r="CI83" s="6"/>
      <c r="CJ83" s="13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</row>
    <row r="84" spans="1:160" x14ac:dyDescent="0.3">
      <c r="A84" s="6" t="s">
        <v>177</v>
      </c>
      <c r="B84" s="10" t="s">
        <v>177</v>
      </c>
      <c r="C84" s="10" t="s">
        <v>178</v>
      </c>
      <c r="D84" s="6" t="s">
        <v>178</v>
      </c>
      <c r="E84" s="7"/>
      <c r="F84" s="7"/>
      <c r="G84" s="7"/>
      <c r="H84" s="7"/>
      <c r="I84" s="1">
        <v>45.359200000000001</v>
      </c>
      <c r="J84" s="1">
        <v>52.163080000000001</v>
      </c>
      <c r="K84" s="1">
        <v>45.5</v>
      </c>
      <c r="L84" s="1">
        <v>52.5</v>
      </c>
      <c r="M84" s="1">
        <v>31.751439999999999</v>
      </c>
      <c r="N84" s="1">
        <v>40.823279999999997</v>
      </c>
      <c r="O84" s="1">
        <v>32</v>
      </c>
      <c r="P84" s="1">
        <v>41</v>
      </c>
      <c r="Q84" s="12">
        <v>42.524250000000002</v>
      </c>
      <c r="R84" s="1">
        <v>48.761139999999997</v>
      </c>
      <c r="S84" s="1">
        <v>36.28736</v>
      </c>
      <c r="T84" s="1">
        <v>42.75</v>
      </c>
      <c r="U84" s="1">
        <v>49</v>
      </c>
      <c r="V84" s="1">
        <v>36.5</v>
      </c>
      <c r="W84" s="1">
        <f>AVERAGE(X84:Y84)</f>
        <v>48.5</v>
      </c>
      <c r="X84" s="1">
        <v>48.5</v>
      </c>
      <c r="Y84" s="1">
        <v>48.5</v>
      </c>
      <c r="Z84" s="1"/>
      <c r="AA84" s="1"/>
      <c r="AB84" s="1"/>
      <c r="AC84" s="1"/>
      <c r="AD84" s="1"/>
      <c r="AE84" s="1">
        <f t="shared" si="53"/>
        <v>42.637124999999997</v>
      </c>
      <c r="AF84" s="1">
        <f>AVERAGE(X84:AD84)</f>
        <v>48.5</v>
      </c>
      <c r="AG84" s="1">
        <f t="shared" si="54"/>
        <v>45.568562499999999</v>
      </c>
      <c r="AH84" s="1">
        <v>10</v>
      </c>
      <c r="AI84" s="1">
        <v>12</v>
      </c>
      <c r="AJ84" s="1">
        <v>8</v>
      </c>
      <c r="AK84" s="1">
        <v>12</v>
      </c>
      <c r="AL84" s="1">
        <v>11</v>
      </c>
      <c r="AM84" s="1">
        <v>10</v>
      </c>
      <c r="AN84" s="1"/>
      <c r="AO84" s="1"/>
      <c r="AP84" s="1"/>
      <c r="AQ84" s="1">
        <f t="shared" si="55"/>
        <v>10.5</v>
      </c>
      <c r="AR84" s="1"/>
      <c r="AS84" s="12">
        <f t="shared" si="45"/>
        <v>10.5</v>
      </c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>
        <v>7</v>
      </c>
      <c r="BK84" s="1">
        <v>8</v>
      </c>
      <c r="BL84" s="1"/>
      <c r="BM84" s="1"/>
      <c r="BN84" s="12">
        <f t="shared" si="52"/>
        <v>7.5</v>
      </c>
      <c r="BO84" s="1"/>
      <c r="BP84" s="1"/>
      <c r="BQ84" s="1"/>
      <c r="BR84" s="1">
        <v>577.5</v>
      </c>
      <c r="BS84" s="1"/>
      <c r="BT84" s="1"/>
      <c r="BU84" s="1"/>
      <c r="BV84" s="1">
        <v>547</v>
      </c>
      <c r="BW84" s="1">
        <v>608</v>
      </c>
      <c r="BX84" s="1"/>
      <c r="BY84" s="1">
        <f>AVERAGE(BR84:BU84)</f>
        <v>577.5</v>
      </c>
      <c r="BZ84" s="1">
        <f>BY84/1000</f>
        <v>0.57750000000000001</v>
      </c>
      <c r="CA84" s="1">
        <f>AVERAGE(BQ84:BU84)</f>
        <v>577.5</v>
      </c>
      <c r="CB84" s="12">
        <f>CA84/1000</f>
        <v>0.57750000000000001</v>
      </c>
      <c r="CC84" s="13">
        <f t="shared" si="28"/>
        <v>4.3312499999999998</v>
      </c>
      <c r="CD84" s="6"/>
      <c r="CE84" s="6"/>
      <c r="CF84" s="6"/>
      <c r="CG84" s="6"/>
      <c r="CH84" s="6"/>
      <c r="CI84" s="6"/>
      <c r="CJ84" s="13">
        <f>((Q84-CB84)/CB84)*100</f>
        <v>7263.5064935064929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</row>
    <row r="85" spans="1:160" x14ac:dyDescent="0.3">
      <c r="A85" s="6" t="s">
        <v>179</v>
      </c>
      <c r="B85" s="10" t="s">
        <v>179</v>
      </c>
      <c r="C85" s="10" t="s">
        <v>180</v>
      </c>
      <c r="D85" s="6" t="s">
        <v>180</v>
      </c>
      <c r="E85" s="7"/>
      <c r="F85" s="7"/>
      <c r="G85" s="7"/>
      <c r="H85" s="7"/>
      <c r="I85" s="1">
        <v>29.48348</v>
      </c>
      <c r="J85" s="1">
        <v>36.28736</v>
      </c>
      <c r="K85" s="1">
        <v>29.5</v>
      </c>
      <c r="L85" s="1">
        <v>36.5</v>
      </c>
      <c r="M85" s="1">
        <v>24.947559999999999</v>
      </c>
      <c r="N85" s="1">
        <v>31.751439999999999</v>
      </c>
      <c r="O85" s="1">
        <v>25</v>
      </c>
      <c r="P85" s="1">
        <v>32</v>
      </c>
      <c r="Q85" s="12">
        <v>30.617460000000001</v>
      </c>
      <c r="R85" s="1">
        <v>32.885420000000003</v>
      </c>
      <c r="S85" s="1">
        <v>28.349499999999999</v>
      </c>
      <c r="T85" s="1">
        <v>30.75</v>
      </c>
      <c r="U85" s="1">
        <v>33</v>
      </c>
      <c r="V85" s="1">
        <v>28.5</v>
      </c>
      <c r="W85" s="1">
        <f>AVERAGE(X85:Y85)</f>
        <v>29.8</v>
      </c>
      <c r="X85" s="1">
        <v>29.8</v>
      </c>
      <c r="Y85" s="1"/>
      <c r="Z85" s="1">
        <v>29.8</v>
      </c>
      <c r="AA85" s="1">
        <v>30</v>
      </c>
      <c r="AB85" s="1"/>
      <c r="AC85" s="1">
        <v>28.1</v>
      </c>
      <c r="AD85" s="1">
        <v>28.12</v>
      </c>
      <c r="AE85" s="1">
        <f t="shared" si="53"/>
        <v>30.683730000000001</v>
      </c>
      <c r="AF85" s="1">
        <f>AVERAGE(X85:AD85)</f>
        <v>29.163999999999998</v>
      </c>
      <c r="AG85" s="1">
        <f t="shared" si="54"/>
        <v>29.923864999999999</v>
      </c>
      <c r="AH85" s="1">
        <v>10</v>
      </c>
      <c r="AI85" s="1">
        <v>12</v>
      </c>
      <c r="AJ85" s="1">
        <v>11</v>
      </c>
      <c r="AK85" s="1">
        <v>13</v>
      </c>
      <c r="AL85" s="1">
        <v>11</v>
      </c>
      <c r="AM85" s="1">
        <v>12</v>
      </c>
      <c r="AN85" s="1"/>
      <c r="AO85" s="1">
        <v>12.5</v>
      </c>
      <c r="AP85" s="1">
        <v>12.6</v>
      </c>
      <c r="AQ85" s="1">
        <f t="shared" si="55"/>
        <v>11.5</v>
      </c>
      <c r="AR85" s="1">
        <f>AVERAGE(AN85:AP85)</f>
        <v>12.55</v>
      </c>
      <c r="AS85" s="12">
        <f t="shared" si="45"/>
        <v>12.200000000000001</v>
      </c>
      <c r="AT85" s="1"/>
      <c r="AU85" s="1"/>
      <c r="AV85" s="1"/>
      <c r="AW85" s="1"/>
      <c r="AX85" s="1"/>
      <c r="AY85" s="1">
        <v>5.57</v>
      </c>
      <c r="AZ85" s="1">
        <v>6.9</v>
      </c>
      <c r="BA85" s="1"/>
      <c r="BB85" s="1"/>
      <c r="BC85" s="1"/>
      <c r="BD85" s="1"/>
      <c r="BE85" s="1">
        <v>6</v>
      </c>
      <c r="BF85" s="1">
        <v>5.27</v>
      </c>
      <c r="BG85" s="1">
        <v>6.4</v>
      </c>
      <c r="BH85" s="1"/>
      <c r="BI85" s="1"/>
      <c r="BJ85" s="1"/>
      <c r="BK85" s="1"/>
      <c r="BL85" s="1"/>
      <c r="BM85" s="1">
        <f>AVERAGE(AV85:BI85)</f>
        <v>6.0280000000000005</v>
      </c>
      <c r="BN85" s="12">
        <f t="shared" si="52"/>
        <v>6.0280000000000005</v>
      </c>
      <c r="BO85" s="1"/>
      <c r="BP85" s="1"/>
      <c r="BQ85" s="1"/>
      <c r="BR85" s="1">
        <v>450</v>
      </c>
      <c r="BS85" s="1"/>
      <c r="BT85" s="1">
        <v>405.5</v>
      </c>
      <c r="BU85" s="1">
        <v>396.4</v>
      </c>
      <c r="BV85" s="1">
        <v>450</v>
      </c>
      <c r="BW85" s="1"/>
      <c r="BX85" s="1"/>
      <c r="BY85" s="1">
        <f>AVERAGE(BR85:BU85)</f>
        <v>417.3</v>
      </c>
      <c r="BZ85" s="1">
        <f>BY85/1000</f>
        <v>0.4173</v>
      </c>
      <c r="CA85" s="1">
        <f>AVERAGE(BQ85:BU85)</f>
        <v>417.3</v>
      </c>
      <c r="CB85" s="12">
        <f>CA85/1000</f>
        <v>0.4173</v>
      </c>
      <c r="CC85" s="13">
        <f t="shared" si="28"/>
        <v>2.5154844000000001</v>
      </c>
      <c r="CD85" s="6">
        <v>13.7</v>
      </c>
      <c r="CE85" s="6">
        <v>14.38</v>
      </c>
      <c r="CF85" s="6">
        <f>AVERAGE(CD85:CE85)</f>
        <v>14.04</v>
      </c>
      <c r="CG85" s="6">
        <v>52.1</v>
      </c>
      <c r="CH85" s="6">
        <v>52</v>
      </c>
      <c r="CI85" s="6">
        <f>AVERAGE(CG85:CH85)</f>
        <v>52.05</v>
      </c>
      <c r="CJ85" s="13">
        <f>((Q85-CB85)/CB85)*100</f>
        <v>7237.0381020848317</v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</row>
    <row r="86" spans="1:160" x14ac:dyDescent="0.3">
      <c r="A86" s="6" t="s">
        <v>181</v>
      </c>
      <c r="B86" s="10" t="s">
        <v>181</v>
      </c>
      <c r="C86" s="10" t="s">
        <v>182</v>
      </c>
      <c r="D86" s="6" t="s">
        <v>182</v>
      </c>
      <c r="E86" s="7"/>
      <c r="F86" s="7"/>
      <c r="G86" s="7"/>
      <c r="H86" s="7"/>
      <c r="I86" s="1">
        <v>49.895119999999999</v>
      </c>
      <c r="J86" s="1">
        <v>77.110640000000004</v>
      </c>
      <c r="K86" s="1">
        <v>59</v>
      </c>
      <c r="L86" s="1">
        <v>77</v>
      </c>
      <c r="M86" s="1">
        <v>40.823279999999997</v>
      </c>
      <c r="N86" s="1">
        <v>63.502879999999998</v>
      </c>
      <c r="O86" s="1">
        <v>45</v>
      </c>
      <c r="P86" s="1">
        <v>59</v>
      </c>
      <c r="Q86" s="12">
        <v>57.832979999999999</v>
      </c>
      <c r="R86" s="1">
        <v>63.502879999999998</v>
      </c>
      <c r="S86" s="1">
        <v>52.163080000000001</v>
      </c>
      <c r="T86" s="1">
        <v>60</v>
      </c>
      <c r="U86" s="1">
        <v>68</v>
      </c>
      <c r="V86" s="1">
        <v>52</v>
      </c>
      <c r="W86" s="1">
        <f>AVERAGE(X86:Y86)</f>
        <v>68</v>
      </c>
      <c r="X86" s="1">
        <v>68</v>
      </c>
      <c r="Y86" s="1"/>
      <c r="Z86" s="1"/>
      <c r="AA86" s="1"/>
      <c r="AB86" s="1"/>
      <c r="AC86" s="1"/>
      <c r="AD86" s="1"/>
      <c r="AE86" s="1">
        <f t="shared" si="53"/>
        <v>58.916490000000003</v>
      </c>
      <c r="AF86" s="1">
        <f>AVERAGE(X86:AD86)</f>
        <v>68</v>
      </c>
      <c r="AG86" s="1">
        <f t="shared" si="54"/>
        <v>63.458245000000005</v>
      </c>
      <c r="AH86" s="1">
        <v>7</v>
      </c>
      <c r="AI86" s="1">
        <v>7</v>
      </c>
      <c r="AJ86" s="1">
        <v>8</v>
      </c>
      <c r="AK86" s="1">
        <v>9</v>
      </c>
      <c r="AL86" s="1">
        <v>7</v>
      </c>
      <c r="AM86" s="1">
        <v>8.5</v>
      </c>
      <c r="AN86" s="1">
        <v>8.75</v>
      </c>
      <c r="AO86" s="1"/>
      <c r="AP86" s="1"/>
      <c r="AQ86" s="1">
        <f t="shared" si="55"/>
        <v>7.75</v>
      </c>
      <c r="AR86" s="1">
        <f>AVERAGE(AN86:AP86)</f>
        <v>8.75</v>
      </c>
      <c r="AS86" s="12">
        <f t="shared" si="45"/>
        <v>8.25</v>
      </c>
      <c r="AT86" s="1"/>
      <c r="AU86" s="1"/>
      <c r="AV86" s="1">
        <v>6.33</v>
      </c>
      <c r="AW86" s="1"/>
      <c r="AX86" s="1"/>
      <c r="AY86" s="1"/>
      <c r="AZ86" s="1">
        <v>8.4</v>
      </c>
      <c r="BA86" s="1"/>
      <c r="BB86" s="1"/>
      <c r="BC86" s="1"/>
      <c r="BD86" s="1"/>
      <c r="BE86" s="1">
        <v>6</v>
      </c>
      <c r="BF86" s="1"/>
      <c r="BG86" s="1"/>
      <c r="BH86" s="1"/>
      <c r="BI86" s="1"/>
      <c r="BJ86" s="1"/>
      <c r="BK86" s="1"/>
      <c r="BL86" s="1"/>
      <c r="BM86" s="1">
        <f>AVERAGE(AV86:BI86)</f>
        <v>6.91</v>
      </c>
      <c r="BN86" s="12">
        <f t="shared" si="52"/>
        <v>6.91</v>
      </c>
      <c r="BO86" s="1"/>
      <c r="BP86" s="1"/>
      <c r="BQ86" s="1"/>
      <c r="BR86" s="1">
        <v>510</v>
      </c>
      <c r="BS86" s="1"/>
      <c r="BT86" s="1">
        <v>615</v>
      </c>
      <c r="BU86" s="1"/>
      <c r="BV86" s="1">
        <v>510</v>
      </c>
      <c r="BW86" s="1"/>
      <c r="BX86" s="1"/>
      <c r="BY86" s="1">
        <f>AVERAGE(BR86:BU86)</f>
        <v>562.5</v>
      </c>
      <c r="BZ86" s="1">
        <f>BY86/1000</f>
        <v>0.5625</v>
      </c>
      <c r="CA86" s="1">
        <f>AVERAGE(BQ86:BU86)</f>
        <v>562.5</v>
      </c>
      <c r="CB86" s="12">
        <f>CA86/1000</f>
        <v>0.5625</v>
      </c>
      <c r="CC86" s="13">
        <f t="shared" si="28"/>
        <v>3.8868749999999999</v>
      </c>
      <c r="CD86" s="6"/>
      <c r="CE86" s="6"/>
      <c r="CF86" s="6"/>
      <c r="CG86" s="6"/>
      <c r="CH86" s="6"/>
      <c r="CI86" s="6"/>
      <c r="CJ86" s="13">
        <f>((Q86-CB86)/CB86)*100</f>
        <v>10181.418666666666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</row>
    <row r="87" spans="1:160" x14ac:dyDescent="0.3">
      <c r="A87" s="6" t="s">
        <v>183</v>
      </c>
      <c r="B87" s="10" t="s">
        <v>183</v>
      </c>
      <c r="C87" s="10" t="s">
        <v>184</v>
      </c>
      <c r="D87" s="6" t="s">
        <v>184</v>
      </c>
      <c r="E87" s="7">
        <v>5.4431039999999999</v>
      </c>
      <c r="F87" s="7">
        <v>8.1646560000000008</v>
      </c>
      <c r="G87" s="7"/>
      <c r="H87" s="7"/>
      <c r="I87" s="1"/>
      <c r="J87" s="1"/>
      <c r="K87" s="1">
        <v>6</v>
      </c>
      <c r="L87" s="1">
        <v>8</v>
      </c>
      <c r="M87" s="1"/>
      <c r="N87" s="1"/>
      <c r="O87" s="1">
        <v>6</v>
      </c>
      <c r="P87" s="1">
        <v>7</v>
      </c>
      <c r="Q87" s="12">
        <v>6.8038800000000004</v>
      </c>
      <c r="R87" s="1"/>
      <c r="S87" s="1"/>
      <c r="T87" s="1">
        <v>6.75</v>
      </c>
      <c r="U87" s="1">
        <v>7</v>
      </c>
      <c r="V87" s="1">
        <v>6.5</v>
      </c>
      <c r="W87" s="1"/>
      <c r="X87" s="1"/>
      <c r="Y87" s="1"/>
      <c r="Z87" s="1"/>
      <c r="AA87" s="1">
        <v>6</v>
      </c>
      <c r="AB87" s="1"/>
      <c r="AC87" s="1"/>
      <c r="AD87" s="1">
        <v>7.26</v>
      </c>
      <c r="AE87" s="1">
        <f t="shared" si="53"/>
        <v>6.7679599999999995</v>
      </c>
      <c r="AF87" s="1">
        <f>AVERAGE(X87:AD87)</f>
        <v>6.63</v>
      </c>
      <c r="AG87" s="1">
        <f t="shared" si="54"/>
        <v>6.6989799999999997</v>
      </c>
      <c r="AH87" s="1">
        <v>12</v>
      </c>
      <c r="AI87" s="1">
        <v>15</v>
      </c>
      <c r="AJ87" s="1">
        <v>14</v>
      </c>
      <c r="AK87" s="1">
        <v>15</v>
      </c>
      <c r="AL87" s="1">
        <v>13.5</v>
      </c>
      <c r="AM87" s="1">
        <v>14.5</v>
      </c>
      <c r="AN87" s="1"/>
      <c r="AO87" s="1">
        <v>13</v>
      </c>
      <c r="AP87" s="1">
        <v>9</v>
      </c>
      <c r="AQ87" s="1">
        <f t="shared" si="55"/>
        <v>14</v>
      </c>
      <c r="AR87" s="1">
        <f>AVERAGE(AN87:AP87)</f>
        <v>11</v>
      </c>
      <c r="AS87" s="12">
        <f t="shared" si="45"/>
        <v>12</v>
      </c>
      <c r="AT87" s="1"/>
      <c r="AU87" s="1"/>
      <c r="AV87" s="1"/>
      <c r="AW87" s="1"/>
      <c r="AX87" s="1"/>
      <c r="AY87" s="1"/>
      <c r="AZ87" s="1">
        <v>4.9000000000000004</v>
      </c>
      <c r="BA87" s="1"/>
      <c r="BB87" s="1"/>
      <c r="BC87" s="1"/>
      <c r="BD87" s="1"/>
      <c r="BE87" s="1"/>
      <c r="BF87" s="1">
        <v>4.54</v>
      </c>
      <c r="BG87" s="1"/>
      <c r="BH87" s="1"/>
      <c r="BI87" s="1"/>
      <c r="BJ87" s="1"/>
      <c r="BK87" s="1"/>
      <c r="BL87" s="1"/>
      <c r="BM87" s="1">
        <f>AVERAGE(AV87:BI87)</f>
        <v>4.7200000000000006</v>
      </c>
      <c r="BN87" s="12">
        <f t="shared" si="52"/>
        <v>4.7200000000000006</v>
      </c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2"/>
      <c r="CC87" s="13">
        <f t="shared" si="28"/>
        <v>0</v>
      </c>
      <c r="CD87" s="6"/>
      <c r="CE87" s="6"/>
      <c r="CF87" s="6"/>
      <c r="CG87" s="6"/>
      <c r="CH87" s="6"/>
      <c r="CI87" s="6"/>
      <c r="CJ87" s="13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</row>
    <row r="88" spans="1:160" x14ac:dyDescent="0.3">
      <c r="A88" s="6" t="s">
        <v>185</v>
      </c>
      <c r="B88" s="10" t="s">
        <v>185</v>
      </c>
      <c r="C88" s="10" t="s">
        <v>186</v>
      </c>
      <c r="D88" s="6" t="s">
        <v>186</v>
      </c>
      <c r="E88" s="7"/>
      <c r="F88" s="7"/>
      <c r="G88" s="7"/>
      <c r="H88" s="7"/>
      <c r="I88" s="1"/>
      <c r="J88" s="1"/>
      <c r="K88" s="1"/>
      <c r="L88" s="1"/>
      <c r="M88" s="1"/>
      <c r="N88" s="1"/>
      <c r="O88" s="1"/>
      <c r="P88" s="1"/>
      <c r="Q88" s="1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2"/>
      <c r="AT88" s="1"/>
      <c r="AU88" s="1"/>
      <c r="AV88" s="1"/>
      <c r="AW88" s="1"/>
      <c r="AX88" s="1"/>
      <c r="AY88" s="1"/>
      <c r="AZ88" s="1">
        <v>7</v>
      </c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>
        <f>AVERAGE(AV88:BI88)</f>
        <v>7</v>
      </c>
      <c r="BN88" s="12">
        <f t="shared" si="52"/>
        <v>7</v>
      </c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2"/>
      <c r="CC88" s="13">
        <f t="shared" si="28"/>
        <v>0</v>
      </c>
      <c r="CD88" s="6"/>
      <c r="CE88" s="6"/>
      <c r="CF88" s="6"/>
      <c r="CG88" s="6"/>
      <c r="CH88" s="6"/>
      <c r="CI88" s="6"/>
      <c r="CJ88" s="13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</row>
    <row r="89" spans="1:160" x14ac:dyDescent="0.3">
      <c r="A89" s="6" t="s">
        <v>187</v>
      </c>
      <c r="B89" s="10" t="s">
        <v>187</v>
      </c>
      <c r="C89" s="10" t="s">
        <v>188</v>
      </c>
      <c r="D89" s="6" t="s">
        <v>189</v>
      </c>
      <c r="E89" s="7"/>
      <c r="F89" s="7"/>
      <c r="G89" s="7">
        <v>79</v>
      </c>
      <c r="H89" s="7">
        <v>86</v>
      </c>
      <c r="I89" s="1">
        <v>72.574719999999999</v>
      </c>
      <c r="J89" s="1">
        <v>104.32616</v>
      </c>
      <c r="K89" s="1"/>
      <c r="L89" s="1"/>
      <c r="M89" s="1">
        <v>54.431040000000003</v>
      </c>
      <c r="N89" s="1">
        <v>77.110640000000004</v>
      </c>
      <c r="O89" s="1"/>
      <c r="P89" s="1"/>
      <c r="Q89" s="12">
        <v>77.110640000000004</v>
      </c>
      <c r="R89" s="1">
        <v>88.45044</v>
      </c>
      <c r="S89" s="1">
        <v>65.770840000000007</v>
      </c>
      <c r="T89" s="1">
        <v>82.5</v>
      </c>
      <c r="U89" s="1"/>
      <c r="V89" s="1"/>
      <c r="W89" s="1">
        <f>AVERAGE(X89:Y89)</f>
        <v>81.650000000000006</v>
      </c>
      <c r="X89" s="1">
        <v>81.650000000000006</v>
      </c>
      <c r="Y89" s="1"/>
      <c r="Z89" s="1"/>
      <c r="AA89" s="1">
        <v>82</v>
      </c>
      <c r="AB89" s="1"/>
      <c r="AC89" s="1">
        <v>66.900000000000006</v>
      </c>
      <c r="AD89" s="1"/>
      <c r="AE89" s="1">
        <f t="shared" ref="AE89:AE135" si="56">AVERAGE(E89:P89)</f>
        <v>78.907093333333336</v>
      </c>
      <c r="AF89" s="1">
        <f>AVERAGE(X89:AD89)</f>
        <v>76.850000000000009</v>
      </c>
      <c r="AG89" s="1">
        <f t="shared" ref="AG89:AG135" si="57">AVERAGE(AE89:AF89)</f>
        <v>77.878546666666665</v>
      </c>
      <c r="AH89" s="1">
        <v>6</v>
      </c>
      <c r="AI89" s="1">
        <v>10</v>
      </c>
      <c r="AJ89" s="1">
        <v>8</v>
      </c>
      <c r="AK89" s="1">
        <v>9</v>
      </c>
      <c r="AL89" s="1">
        <v>8</v>
      </c>
      <c r="AM89" s="1">
        <v>8.5</v>
      </c>
      <c r="AN89" s="1"/>
      <c r="AO89" s="1">
        <v>7.1</v>
      </c>
      <c r="AP89" s="1"/>
      <c r="AQ89" s="1">
        <f t="shared" ref="AQ89:AQ135" si="58">AVERAGE(AH89:AK89)</f>
        <v>8.25</v>
      </c>
      <c r="AR89" s="1">
        <f>AVERAGE(AN89:AP89)</f>
        <v>7.1</v>
      </c>
      <c r="AS89" s="12">
        <f t="shared" ref="AS89:AS135" si="59">AVERAGE(AN89:AQ89)</f>
        <v>7.6749999999999998</v>
      </c>
      <c r="AT89" s="1"/>
      <c r="AU89" s="1"/>
      <c r="AV89" s="1"/>
      <c r="AW89" s="1"/>
      <c r="AX89" s="1"/>
      <c r="AY89" s="1"/>
      <c r="AZ89" s="1">
        <v>6</v>
      </c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>
        <f>AVERAGE(AV89:BI89)</f>
        <v>6</v>
      </c>
      <c r="BN89" s="12">
        <f t="shared" si="52"/>
        <v>6</v>
      </c>
      <c r="BO89" s="1"/>
      <c r="BP89" s="1"/>
      <c r="BQ89" s="1"/>
      <c r="BR89" s="1">
        <v>567</v>
      </c>
      <c r="BS89" s="1"/>
      <c r="BT89" s="1"/>
      <c r="BU89" s="1"/>
      <c r="BV89" s="1">
        <v>567</v>
      </c>
      <c r="BW89" s="1">
        <v>164</v>
      </c>
      <c r="BX89" s="1"/>
      <c r="BY89" s="1">
        <f>AVERAGE(BR89:BU89)</f>
        <v>567</v>
      </c>
      <c r="BZ89" s="1">
        <f>BY89/1000</f>
        <v>0.56699999999999995</v>
      </c>
      <c r="CA89" s="1">
        <f>AVERAGE(BQ89:BU89)</f>
        <v>567</v>
      </c>
      <c r="CB89" s="12">
        <f>CA89/1000</f>
        <v>0.56699999999999995</v>
      </c>
      <c r="CC89" s="13">
        <f t="shared" si="28"/>
        <v>3.4019999999999997</v>
      </c>
      <c r="CD89" s="6">
        <v>10.9</v>
      </c>
      <c r="CE89" s="6"/>
      <c r="CF89" s="6">
        <f>AVERAGE(CD89:CE89)</f>
        <v>10.9</v>
      </c>
      <c r="CG89" s="6">
        <v>65.2</v>
      </c>
      <c r="CH89" s="6"/>
      <c r="CI89" s="6">
        <v>65.2</v>
      </c>
      <c r="CJ89" s="13">
        <f>((Q89-CB89)/CB89)*100</f>
        <v>13499.760141093479</v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</row>
    <row r="90" spans="1:160" x14ac:dyDescent="0.3">
      <c r="A90" s="6" t="s">
        <v>190</v>
      </c>
      <c r="B90" s="10" t="s">
        <v>190</v>
      </c>
      <c r="C90" s="10" t="s">
        <v>191</v>
      </c>
      <c r="D90" s="6" t="s">
        <v>191</v>
      </c>
      <c r="E90" s="7">
        <v>8.1646560000000008</v>
      </c>
      <c r="F90" s="7">
        <v>12.700576</v>
      </c>
      <c r="G90" s="7">
        <v>11</v>
      </c>
      <c r="H90" s="7">
        <v>15</v>
      </c>
      <c r="I90" s="1"/>
      <c r="J90" s="1"/>
      <c r="K90" s="1"/>
      <c r="L90" s="1"/>
      <c r="M90" s="1"/>
      <c r="N90" s="1"/>
      <c r="O90" s="1"/>
      <c r="P90" s="1"/>
      <c r="Q90" s="12">
        <v>10.432615999999999</v>
      </c>
      <c r="R90" s="1"/>
      <c r="S90" s="1"/>
      <c r="T90" s="1">
        <v>13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>
        <f t="shared" si="56"/>
        <v>11.716308</v>
      </c>
      <c r="AF90" s="1"/>
      <c r="AG90" s="1">
        <f t="shared" si="57"/>
        <v>11.716308</v>
      </c>
      <c r="AH90" s="1">
        <v>11</v>
      </c>
      <c r="AI90" s="1">
        <v>13</v>
      </c>
      <c r="AJ90" s="1">
        <v>12</v>
      </c>
      <c r="AK90" s="1">
        <v>13</v>
      </c>
      <c r="AL90" s="1">
        <v>12</v>
      </c>
      <c r="AM90" s="1">
        <v>12.5</v>
      </c>
      <c r="AN90" s="1"/>
      <c r="AO90" s="1"/>
      <c r="AP90" s="1"/>
      <c r="AQ90" s="1">
        <f t="shared" si="58"/>
        <v>12.25</v>
      </c>
      <c r="AR90" s="1"/>
      <c r="AS90" s="12">
        <f t="shared" si="59"/>
        <v>12.25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>
        <v>5</v>
      </c>
      <c r="BK90" s="1">
        <v>5</v>
      </c>
      <c r="BL90" s="1"/>
      <c r="BM90" s="1"/>
      <c r="BN90" s="12">
        <f t="shared" si="52"/>
        <v>5</v>
      </c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2"/>
      <c r="CC90" s="13">
        <f t="shared" si="28"/>
        <v>0</v>
      </c>
      <c r="CD90" s="6"/>
      <c r="CE90" s="6"/>
      <c r="CF90" s="6"/>
      <c r="CG90" s="6"/>
      <c r="CH90" s="6"/>
      <c r="CI90" s="6"/>
      <c r="CJ90" s="13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</row>
    <row r="91" spans="1:160" x14ac:dyDescent="0.3">
      <c r="A91" s="6" t="s">
        <v>192</v>
      </c>
      <c r="B91" s="10" t="s">
        <v>192</v>
      </c>
      <c r="C91" s="10" t="s">
        <v>193</v>
      </c>
      <c r="D91" s="6" t="s">
        <v>193</v>
      </c>
      <c r="E91" s="7">
        <v>3.628736</v>
      </c>
      <c r="F91" s="7">
        <v>4.53592</v>
      </c>
      <c r="G91" s="7">
        <v>4</v>
      </c>
      <c r="H91" s="7">
        <v>4.5</v>
      </c>
      <c r="I91" s="1"/>
      <c r="J91" s="1"/>
      <c r="K91" s="1"/>
      <c r="L91" s="1"/>
      <c r="M91" s="1"/>
      <c r="N91" s="1"/>
      <c r="O91" s="1"/>
      <c r="P91" s="1"/>
      <c r="Q91" s="12">
        <v>4.0823280000000004</v>
      </c>
      <c r="R91" s="1"/>
      <c r="S91" s="1"/>
      <c r="T91" s="1">
        <v>4.25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f t="shared" si="56"/>
        <v>4.1661640000000002</v>
      </c>
      <c r="AF91" s="1"/>
      <c r="AG91" s="1">
        <f t="shared" si="57"/>
        <v>4.1661640000000002</v>
      </c>
      <c r="AH91" s="1">
        <v>12</v>
      </c>
      <c r="AI91" s="1">
        <v>16</v>
      </c>
      <c r="AJ91" s="1">
        <v>13</v>
      </c>
      <c r="AK91" s="1">
        <v>14</v>
      </c>
      <c r="AL91" s="1">
        <v>14</v>
      </c>
      <c r="AM91" s="1">
        <v>13.5</v>
      </c>
      <c r="AN91" s="1"/>
      <c r="AO91" s="1"/>
      <c r="AP91" s="1"/>
      <c r="AQ91" s="1">
        <f t="shared" si="58"/>
        <v>13.75</v>
      </c>
      <c r="AR91" s="1"/>
      <c r="AS91" s="12">
        <f t="shared" si="59"/>
        <v>13.75</v>
      </c>
      <c r="AT91" s="1"/>
      <c r="AU91" s="1"/>
      <c r="AV91" s="1"/>
      <c r="AW91" s="1"/>
      <c r="AX91" s="1"/>
      <c r="AY91" s="1">
        <v>5.5</v>
      </c>
      <c r="AZ91" s="1">
        <v>4.3</v>
      </c>
      <c r="BA91" s="1"/>
      <c r="BB91" s="1"/>
      <c r="BC91" s="1"/>
      <c r="BD91" s="1"/>
      <c r="BE91" s="1">
        <v>4</v>
      </c>
      <c r="BF91" s="1"/>
      <c r="BG91" s="1"/>
      <c r="BH91" s="1"/>
      <c r="BI91" s="1"/>
      <c r="BJ91" s="1"/>
      <c r="BK91" s="1"/>
      <c r="BL91" s="1"/>
      <c r="BM91" s="1">
        <f t="shared" ref="BM91:BM99" si="60">AVERAGE(AV91:BI91)</f>
        <v>4.6000000000000005</v>
      </c>
      <c r="BN91" s="12">
        <f t="shared" si="52"/>
        <v>4.6000000000000005</v>
      </c>
      <c r="BO91" s="1"/>
      <c r="BP91" s="1"/>
      <c r="BQ91" s="1"/>
      <c r="BR91" s="1"/>
      <c r="BS91" s="1"/>
      <c r="BT91" s="1">
        <v>145</v>
      </c>
      <c r="BU91" s="1"/>
      <c r="BV91" s="1"/>
      <c r="BW91" s="1"/>
      <c r="BX91" s="1"/>
      <c r="BY91" s="1">
        <f>AVERAGE(BR91:BU91)</f>
        <v>145</v>
      </c>
      <c r="BZ91" s="1">
        <f>BY91/1000</f>
        <v>0.14499999999999999</v>
      </c>
      <c r="CA91" s="1">
        <f>AVERAGE(BQ91:BU91)</f>
        <v>145</v>
      </c>
      <c r="CB91" s="12">
        <f>CA91/1000</f>
        <v>0.14499999999999999</v>
      </c>
      <c r="CC91" s="13">
        <f t="shared" si="28"/>
        <v>0.66700000000000004</v>
      </c>
      <c r="CD91" s="6"/>
      <c r="CE91" s="6"/>
      <c r="CF91" s="6"/>
      <c r="CG91" s="6"/>
      <c r="CH91" s="6"/>
      <c r="CI91" s="6"/>
      <c r="CJ91" s="13">
        <f>((Q91-CB91)/CB91)*100</f>
        <v>2715.3986206896557</v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</row>
    <row r="92" spans="1:160" x14ac:dyDescent="0.3">
      <c r="A92" s="6" t="s">
        <v>194</v>
      </c>
      <c r="B92" s="10" t="s">
        <v>194</v>
      </c>
      <c r="C92" s="10" t="s">
        <v>195</v>
      </c>
      <c r="D92" s="6" t="s">
        <v>196</v>
      </c>
      <c r="E92" s="7">
        <v>4.53592</v>
      </c>
      <c r="F92" s="7">
        <v>6.8038800000000004</v>
      </c>
      <c r="G92" s="7"/>
      <c r="H92" s="7"/>
      <c r="I92" s="1"/>
      <c r="J92" s="1"/>
      <c r="K92" s="1">
        <v>7</v>
      </c>
      <c r="L92" s="1">
        <v>8</v>
      </c>
      <c r="M92" s="1"/>
      <c r="N92" s="1"/>
      <c r="O92" s="1">
        <v>7</v>
      </c>
      <c r="P92" s="1">
        <v>8</v>
      </c>
      <c r="Q92" s="12">
        <v>5.6699000000000002</v>
      </c>
      <c r="R92" s="1"/>
      <c r="S92" s="1"/>
      <c r="T92" s="1">
        <v>7.5</v>
      </c>
      <c r="U92" s="1">
        <v>7.5</v>
      </c>
      <c r="V92" s="1">
        <v>7.5</v>
      </c>
      <c r="W92" s="1"/>
      <c r="X92" s="1"/>
      <c r="Y92" s="1"/>
      <c r="Z92" s="1"/>
      <c r="AA92" s="1">
        <v>7</v>
      </c>
      <c r="AB92" s="1"/>
      <c r="AC92" s="1"/>
      <c r="AD92" s="1">
        <v>6.12</v>
      </c>
      <c r="AE92" s="1">
        <f t="shared" si="56"/>
        <v>6.8899666666666661</v>
      </c>
      <c r="AF92" s="1">
        <f>AVERAGE(X92:AD92)</f>
        <v>6.5600000000000005</v>
      </c>
      <c r="AG92" s="1">
        <f t="shared" si="57"/>
        <v>6.7249833333333333</v>
      </c>
      <c r="AH92" s="1">
        <v>10</v>
      </c>
      <c r="AI92" s="1">
        <v>18</v>
      </c>
      <c r="AJ92" s="1">
        <v>12</v>
      </c>
      <c r="AK92" s="1">
        <v>15</v>
      </c>
      <c r="AL92" s="1">
        <v>14</v>
      </c>
      <c r="AM92" s="1">
        <v>13.5</v>
      </c>
      <c r="AN92" s="1"/>
      <c r="AO92" s="1">
        <v>14.2</v>
      </c>
      <c r="AP92" s="1">
        <v>14.8</v>
      </c>
      <c r="AQ92" s="1">
        <f t="shared" si="58"/>
        <v>13.75</v>
      </c>
      <c r="AR92" s="1">
        <f>AVERAGE(AN92:AP92)</f>
        <v>14.5</v>
      </c>
      <c r="AS92" s="12">
        <f t="shared" si="59"/>
        <v>14.25</v>
      </c>
      <c r="AT92" s="1">
        <v>3.5</v>
      </c>
      <c r="AU92" s="1"/>
      <c r="AV92" s="1"/>
      <c r="AW92" s="1"/>
      <c r="AX92" s="1"/>
      <c r="AY92" s="1"/>
      <c r="AZ92" s="1">
        <v>3</v>
      </c>
      <c r="BA92" s="1"/>
      <c r="BB92" s="1"/>
      <c r="BC92" s="1"/>
      <c r="BD92" s="1"/>
      <c r="BE92" s="1">
        <v>2</v>
      </c>
      <c r="BF92" s="1"/>
      <c r="BG92" s="1"/>
      <c r="BH92" s="1"/>
      <c r="BI92" s="1"/>
      <c r="BJ92" s="1"/>
      <c r="BK92" s="1"/>
      <c r="BL92" s="1">
        <f>AVERAGE(AT92:AU92)</f>
        <v>3.5</v>
      </c>
      <c r="BM92" s="1">
        <f t="shared" si="60"/>
        <v>2.5</v>
      </c>
      <c r="BN92" s="12">
        <f t="shared" si="52"/>
        <v>2.8333333333333335</v>
      </c>
      <c r="BO92" s="1"/>
      <c r="BP92" s="1"/>
      <c r="BQ92" s="1">
        <v>226.79599999999999</v>
      </c>
      <c r="BR92" s="1"/>
      <c r="BS92" s="1"/>
      <c r="BT92" s="1">
        <v>116.5</v>
      </c>
      <c r="BU92" s="1"/>
      <c r="BV92" s="1"/>
      <c r="BW92" s="1"/>
      <c r="BX92" s="1">
        <v>226.79599999999999</v>
      </c>
      <c r="BY92" s="1">
        <f>AVERAGE(BR92:BU92)</f>
        <v>116.5</v>
      </c>
      <c r="BZ92" s="1">
        <f>BY92/1000</f>
        <v>0.11650000000000001</v>
      </c>
      <c r="CA92" s="1">
        <f>AVERAGE(BQ92:BU92)</f>
        <v>171.648</v>
      </c>
      <c r="CB92" s="12">
        <f>CA92/1000</f>
        <v>0.171648</v>
      </c>
      <c r="CC92" s="13">
        <f t="shared" si="28"/>
        <v>0.48633599999999999</v>
      </c>
      <c r="CD92" s="6"/>
      <c r="CE92" s="6"/>
      <c r="CF92" s="6"/>
      <c r="CG92" s="6"/>
      <c r="CH92" s="6"/>
      <c r="CI92" s="6"/>
      <c r="CJ92" s="13">
        <f>((Q92-CB92)/CB92)*100</f>
        <v>3203.2135533184187</v>
      </c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</row>
    <row r="93" spans="1:160" x14ac:dyDescent="0.3">
      <c r="A93" s="6" t="s">
        <v>197</v>
      </c>
      <c r="B93" s="10" t="s">
        <v>197</v>
      </c>
      <c r="C93" s="10" t="s">
        <v>198</v>
      </c>
      <c r="D93" s="6" t="s">
        <v>198</v>
      </c>
      <c r="E93" s="7">
        <v>4.9895120000000004</v>
      </c>
      <c r="F93" s="7">
        <v>9.0718399999999999</v>
      </c>
      <c r="G93" s="7">
        <v>6.5</v>
      </c>
      <c r="H93" s="7">
        <v>7.5</v>
      </c>
      <c r="I93" s="1"/>
      <c r="J93" s="1"/>
      <c r="K93" s="1"/>
      <c r="L93" s="1"/>
      <c r="M93" s="1"/>
      <c r="N93" s="1"/>
      <c r="O93" s="1"/>
      <c r="P93" s="1"/>
      <c r="Q93" s="12">
        <v>7.0306759999999997</v>
      </c>
      <c r="R93" s="1"/>
      <c r="S93" s="1"/>
      <c r="T93" s="1">
        <v>7</v>
      </c>
      <c r="U93" s="1"/>
      <c r="V93" s="1"/>
      <c r="W93" s="1"/>
      <c r="X93" s="1"/>
      <c r="Y93" s="1"/>
      <c r="Z93" s="1"/>
      <c r="AA93" s="1">
        <v>7</v>
      </c>
      <c r="AB93" s="1"/>
      <c r="AC93" s="1">
        <v>7</v>
      </c>
      <c r="AD93" s="1"/>
      <c r="AE93" s="1">
        <f t="shared" si="56"/>
        <v>7.0153379999999999</v>
      </c>
      <c r="AF93" s="1">
        <f>AVERAGE(X93:AD93)</f>
        <v>7</v>
      </c>
      <c r="AG93" s="1">
        <f t="shared" si="57"/>
        <v>7.0076689999999999</v>
      </c>
      <c r="AH93" s="1">
        <v>12</v>
      </c>
      <c r="AI93" s="1">
        <v>15</v>
      </c>
      <c r="AJ93" s="1">
        <v>14</v>
      </c>
      <c r="AK93" s="1"/>
      <c r="AL93" s="1">
        <v>13.5</v>
      </c>
      <c r="AM93" s="1">
        <v>14</v>
      </c>
      <c r="AN93" s="1"/>
      <c r="AO93" s="1"/>
      <c r="AP93" s="1">
        <v>8.5</v>
      </c>
      <c r="AQ93" s="1">
        <f t="shared" si="58"/>
        <v>13.666666666666666</v>
      </c>
      <c r="AR93" s="1">
        <f>AVERAGE(AN93:AP93)</f>
        <v>8.5</v>
      </c>
      <c r="AS93" s="12">
        <f t="shared" si="59"/>
        <v>11.083333333333332</v>
      </c>
      <c r="AT93" s="1">
        <v>4</v>
      </c>
      <c r="AU93" s="1"/>
      <c r="AV93" s="1"/>
      <c r="AW93" s="1"/>
      <c r="AX93" s="1"/>
      <c r="AY93" s="1"/>
      <c r="AZ93" s="1">
        <v>4.7</v>
      </c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>
        <f>AVERAGE(AT93:AU93)</f>
        <v>4</v>
      </c>
      <c r="BM93" s="1">
        <f t="shared" si="60"/>
        <v>4.7</v>
      </c>
      <c r="BN93" s="12">
        <f t="shared" si="52"/>
        <v>4.3499999999999996</v>
      </c>
      <c r="BO93" s="1"/>
      <c r="BP93" s="1"/>
      <c r="BQ93" s="1">
        <v>184.27175</v>
      </c>
      <c r="BR93" s="1"/>
      <c r="BS93" s="1"/>
      <c r="BT93" s="1"/>
      <c r="BU93" s="1"/>
      <c r="BV93" s="1"/>
      <c r="BW93" s="1"/>
      <c r="BX93" s="1">
        <v>184.27175</v>
      </c>
      <c r="BY93" s="1"/>
      <c r="BZ93" s="1"/>
      <c r="CA93" s="1">
        <f>AVERAGE(BQ93:BU93)</f>
        <v>184.27175</v>
      </c>
      <c r="CB93" s="12">
        <f>CA93/1000</f>
        <v>0.18427174999999998</v>
      </c>
      <c r="CC93" s="13">
        <f t="shared" si="28"/>
        <v>0.80158211249999989</v>
      </c>
      <c r="CD93" s="6">
        <v>16.899999999999999</v>
      </c>
      <c r="CE93" s="6"/>
      <c r="CF93" s="6">
        <f>AVERAGE(CD93:CE93)</f>
        <v>16.899999999999999</v>
      </c>
      <c r="CG93" s="6">
        <v>41.3</v>
      </c>
      <c r="CH93" s="6"/>
      <c r="CI93" s="6">
        <v>41.3</v>
      </c>
      <c r="CJ93" s="13">
        <f>((Q93-CB93)/CB93)*100</f>
        <v>3715.3846153846162</v>
      </c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</row>
    <row r="94" spans="1:160" x14ac:dyDescent="0.3">
      <c r="A94" s="6" t="s">
        <v>199</v>
      </c>
      <c r="B94" s="10" t="s">
        <v>199</v>
      </c>
      <c r="C94" s="10" t="s">
        <v>200</v>
      </c>
      <c r="D94" s="6" t="s">
        <v>200</v>
      </c>
      <c r="E94" s="7"/>
      <c r="F94" s="7"/>
      <c r="G94" s="7"/>
      <c r="H94" s="7"/>
      <c r="I94" s="1"/>
      <c r="J94" s="1"/>
      <c r="K94" s="1">
        <v>25</v>
      </c>
      <c r="L94" s="1"/>
      <c r="M94" s="1"/>
      <c r="N94" s="1"/>
      <c r="O94" s="1">
        <v>22</v>
      </c>
      <c r="P94" s="1"/>
      <c r="Q94" s="12"/>
      <c r="R94" s="1"/>
      <c r="S94" s="1"/>
      <c r="T94" s="1">
        <v>23.5</v>
      </c>
      <c r="U94" s="1">
        <v>25</v>
      </c>
      <c r="V94" s="1">
        <v>22</v>
      </c>
      <c r="W94" s="1"/>
      <c r="X94" s="1"/>
      <c r="Y94" s="1"/>
      <c r="Z94" s="1"/>
      <c r="AA94" s="1">
        <v>23</v>
      </c>
      <c r="AB94" s="1"/>
      <c r="AC94" s="1"/>
      <c r="AD94" s="1">
        <v>19.5</v>
      </c>
      <c r="AE94" s="1">
        <f t="shared" si="56"/>
        <v>23.5</v>
      </c>
      <c r="AF94" s="1">
        <f>AVERAGE(X94:AD94)</f>
        <v>21.25</v>
      </c>
      <c r="AG94" s="1">
        <f t="shared" si="57"/>
        <v>22.375</v>
      </c>
      <c r="AH94" s="1">
        <v>12</v>
      </c>
      <c r="AI94" s="1">
        <v>15</v>
      </c>
      <c r="AJ94" s="1">
        <v>12</v>
      </c>
      <c r="AK94" s="1">
        <v>13</v>
      </c>
      <c r="AL94" s="1">
        <v>13.5</v>
      </c>
      <c r="AM94" s="1">
        <v>12.5</v>
      </c>
      <c r="AN94" s="1"/>
      <c r="AO94" s="1"/>
      <c r="AP94" s="1"/>
      <c r="AQ94" s="1">
        <f t="shared" si="58"/>
        <v>13</v>
      </c>
      <c r="AR94" s="1"/>
      <c r="AS94" s="12">
        <f t="shared" si="59"/>
        <v>13</v>
      </c>
      <c r="AT94" s="1"/>
      <c r="AU94" s="1"/>
      <c r="AV94" s="1"/>
      <c r="AW94" s="1"/>
      <c r="AX94" s="1"/>
      <c r="AY94" s="1"/>
      <c r="AZ94" s="1">
        <v>5.35</v>
      </c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>
        <f t="shared" si="60"/>
        <v>5.35</v>
      </c>
      <c r="BN94" s="12">
        <f t="shared" si="52"/>
        <v>5.35</v>
      </c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2"/>
      <c r="CC94" s="13">
        <f t="shared" si="28"/>
        <v>0</v>
      </c>
      <c r="CD94" s="6"/>
      <c r="CE94" s="6"/>
      <c r="CF94" s="6"/>
      <c r="CG94" s="6"/>
      <c r="CH94" s="6"/>
      <c r="CI94" s="6"/>
      <c r="CJ94" s="13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</row>
    <row r="95" spans="1:160" x14ac:dyDescent="0.3">
      <c r="A95" s="6" t="s">
        <v>201</v>
      </c>
      <c r="B95" s="10" t="s">
        <v>201</v>
      </c>
      <c r="C95" s="10" t="s">
        <v>202</v>
      </c>
      <c r="D95" s="6" t="s">
        <v>202</v>
      </c>
      <c r="E95" s="7"/>
      <c r="F95" s="7"/>
      <c r="G95" s="7"/>
      <c r="H95" s="7"/>
      <c r="I95" s="1">
        <v>58.96696</v>
      </c>
      <c r="J95" s="1">
        <v>68.038799999999995</v>
      </c>
      <c r="K95" s="1">
        <v>59</v>
      </c>
      <c r="L95" s="1">
        <v>68</v>
      </c>
      <c r="M95" s="1">
        <v>45.359200000000001</v>
      </c>
      <c r="N95" s="1">
        <v>54.431040000000003</v>
      </c>
      <c r="O95" s="1">
        <v>45.5</v>
      </c>
      <c r="P95" s="1">
        <v>54.5</v>
      </c>
      <c r="Q95" s="12">
        <v>56.698999999999998</v>
      </c>
      <c r="R95" s="1">
        <v>63.502879999999998</v>
      </c>
      <c r="S95" s="1">
        <v>49.895119999999999</v>
      </c>
      <c r="T95" s="1">
        <v>56.75</v>
      </c>
      <c r="U95" s="1">
        <v>63.5</v>
      </c>
      <c r="V95" s="1">
        <v>50</v>
      </c>
      <c r="W95" s="1"/>
      <c r="X95" s="1"/>
      <c r="Y95" s="1"/>
      <c r="Z95" s="1"/>
      <c r="AA95" s="1">
        <v>64</v>
      </c>
      <c r="AB95" s="1">
        <v>54.2</v>
      </c>
      <c r="AC95" s="1">
        <v>43.3</v>
      </c>
      <c r="AD95" s="1">
        <v>52.16</v>
      </c>
      <c r="AE95" s="1">
        <f t="shared" si="56"/>
        <v>56.724499999999999</v>
      </c>
      <c r="AF95" s="1">
        <f>AVERAGE(X95:AD95)</f>
        <v>53.414999999999999</v>
      </c>
      <c r="AG95" s="1">
        <f t="shared" si="57"/>
        <v>55.069749999999999</v>
      </c>
      <c r="AH95" s="1">
        <v>9</v>
      </c>
      <c r="AI95" s="1">
        <v>10</v>
      </c>
      <c r="AJ95" s="1">
        <v>8</v>
      </c>
      <c r="AK95" s="1">
        <v>10</v>
      </c>
      <c r="AL95" s="1">
        <v>9.5</v>
      </c>
      <c r="AM95" s="1">
        <v>9</v>
      </c>
      <c r="AN95" s="1"/>
      <c r="AO95" s="1"/>
      <c r="AP95" s="1"/>
      <c r="AQ95" s="1">
        <f t="shared" si="58"/>
        <v>9.25</v>
      </c>
      <c r="AR95" s="1"/>
      <c r="AS95" s="12">
        <f t="shared" si="59"/>
        <v>9.25</v>
      </c>
      <c r="AT95" s="1"/>
      <c r="AU95" s="1"/>
      <c r="AV95" s="1"/>
      <c r="AW95" s="1"/>
      <c r="AX95" s="1"/>
      <c r="AY95" s="1">
        <v>4.33</v>
      </c>
      <c r="AZ95" s="1">
        <v>6.5</v>
      </c>
      <c r="BA95" s="1"/>
      <c r="BB95" s="1"/>
      <c r="BC95" s="1"/>
      <c r="BD95" s="1"/>
      <c r="BE95" s="1">
        <v>6</v>
      </c>
      <c r="BF95" s="1"/>
      <c r="BG95" s="1"/>
      <c r="BH95" s="1"/>
      <c r="BI95" s="1"/>
      <c r="BJ95" s="1"/>
      <c r="BK95" s="1"/>
      <c r="BL95" s="1"/>
      <c r="BM95" s="1">
        <f t="shared" si="60"/>
        <v>5.6099999999999994</v>
      </c>
      <c r="BN95" s="12">
        <f t="shared" si="52"/>
        <v>5.6099999999999994</v>
      </c>
      <c r="BO95" s="1"/>
      <c r="BP95" s="1"/>
      <c r="BQ95" s="1"/>
      <c r="BR95" s="1"/>
      <c r="BS95" s="1"/>
      <c r="BT95" s="1">
        <v>600</v>
      </c>
      <c r="BU95" s="1"/>
      <c r="BV95" s="1"/>
      <c r="BW95" s="1"/>
      <c r="BX95" s="1"/>
      <c r="BY95" s="1">
        <f>AVERAGE(BR95:BU95)</f>
        <v>600</v>
      </c>
      <c r="BZ95" s="1">
        <f>BY95/1000</f>
        <v>0.6</v>
      </c>
      <c r="CA95" s="1">
        <f t="shared" ref="CA95:CA102" si="61">AVERAGE(BQ95:BU95)</f>
        <v>600</v>
      </c>
      <c r="CB95" s="12">
        <f t="shared" ref="CB95:CB102" si="62">CA95/1000</f>
        <v>0.6</v>
      </c>
      <c r="CC95" s="13">
        <f t="shared" si="28"/>
        <v>3.3659999999999997</v>
      </c>
      <c r="CD95" s="6">
        <v>16.7</v>
      </c>
      <c r="CE95" s="6"/>
      <c r="CF95" s="6">
        <f>AVERAGE(CD95:CE95)</f>
        <v>16.7</v>
      </c>
      <c r="CG95" s="6">
        <v>46.1</v>
      </c>
      <c r="CH95" s="6"/>
      <c r="CI95" s="6">
        <v>46.1</v>
      </c>
      <c r="CJ95" s="13">
        <f>((Q95-CB95)/CB95)*100</f>
        <v>9349.8333333333339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</row>
    <row r="96" spans="1:160" x14ac:dyDescent="0.3">
      <c r="A96" s="6" t="s">
        <v>203</v>
      </c>
      <c r="B96" s="10" t="s">
        <v>203</v>
      </c>
      <c r="C96" s="10" t="s">
        <v>204</v>
      </c>
      <c r="D96" s="6" t="s">
        <v>204</v>
      </c>
      <c r="E96" s="7">
        <v>4.9895120000000004</v>
      </c>
      <c r="F96" s="7">
        <v>5.4431039999999999</v>
      </c>
      <c r="G96" s="7">
        <v>5</v>
      </c>
      <c r="H96" s="7">
        <v>5.5</v>
      </c>
      <c r="I96" s="1"/>
      <c r="J96" s="1"/>
      <c r="K96" s="1"/>
      <c r="L96" s="1"/>
      <c r="M96" s="1"/>
      <c r="N96" s="1"/>
      <c r="O96" s="1"/>
      <c r="P96" s="1"/>
      <c r="Q96" s="12">
        <v>5.2163079999999997</v>
      </c>
      <c r="R96" s="1"/>
      <c r="S96" s="1"/>
      <c r="T96" s="1">
        <v>5.25</v>
      </c>
      <c r="U96" s="1"/>
      <c r="V96" s="1"/>
      <c r="W96" s="1"/>
      <c r="X96" s="1"/>
      <c r="Y96" s="1"/>
      <c r="Z96" s="1"/>
      <c r="AA96" s="1"/>
      <c r="AB96" s="1">
        <v>6.6909999999999998</v>
      </c>
      <c r="AC96" s="1"/>
      <c r="AD96" s="1"/>
      <c r="AE96" s="1">
        <f t="shared" si="56"/>
        <v>5.2331539999999999</v>
      </c>
      <c r="AF96" s="1">
        <f>AVERAGE(X96:AD96)</f>
        <v>6.6909999999999998</v>
      </c>
      <c r="AG96" s="1">
        <f t="shared" si="57"/>
        <v>5.9620769999999998</v>
      </c>
      <c r="AH96" s="1">
        <v>12</v>
      </c>
      <c r="AI96" s="1">
        <v>16</v>
      </c>
      <c r="AJ96" s="1">
        <v>12</v>
      </c>
      <c r="AK96" s="1">
        <v>15</v>
      </c>
      <c r="AL96" s="1">
        <v>14</v>
      </c>
      <c r="AM96" s="1">
        <v>13.5</v>
      </c>
      <c r="AN96" s="1"/>
      <c r="AO96" s="1"/>
      <c r="AP96" s="1">
        <v>10</v>
      </c>
      <c r="AQ96" s="1">
        <f t="shared" si="58"/>
        <v>13.75</v>
      </c>
      <c r="AR96" s="1">
        <f>AVERAGE(AN96:AP96)</f>
        <v>10</v>
      </c>
      <c r="AS96" s="12">
        <f t="shared" si="59"/>
        <v>11.875</v>
      </c>
      <c r="AT96" s="1">
        <v>3.5</v>
      </c>
      <c r="AU96" s="1"/>
      <c r="AV96" s="1"/>
      <c r="AW96" s="1"/>
      <c r="AX96" s="1"/>
      <c r="AY96" s="1"/>
      <c r="AZ96" s="1">
        <v>2.5</v>
      </c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>
        <f>AVERAGE(AT96:AU96)</f>
        <v>3.5</v>
      </c>
      <c r="BM96" s="1">
        <f t="shared" si="60"/>
        <v>2.5</v>
      </c>
      <c r="BN96" s="12">
        <f t="shared" si="52"/>
        <v>3</v>
      </c>
      <c r="BO96" s="1"/>
      <c r="BP96" s="1"/>
      <c r="BQ96" s="1">
        <v>141.7475</v>
      </c>
      <c r="BR96" s="1"/>
      <c r="BS96" s="1"/>
      <c r="BT96" s="1"/>
      <c r="BU96" s="1"/>
      <c r="BV96" s="1"/>
      <c r="BW96" s="1"/>
      <c r="BX96" s="1">
        <v>141.7475</v>
      </c>
      <c r="BY96" s="1"/>
      <c r="BZ96" s="1"/>
      <c r="CA96" s="1">
        <f t="shared" si="61"/>
        <v>141.7475</v>
      </c>
      <c r="CB96" s="12">
        <f t="shared" si="62"/>
        <v>0.1417475</v>
      </c>
      <c r="CC96" s="13">
        <f t="shared" si="28"/>
        <v>0.42524249999999997</v>
      </c>
      <c r="CD96" s="6"/>
      <c r="CE96" s="6"/>
      <c r="CF96" s="6"/>
      <c r="CG96" s="6"/>
      <c r="CH96" s="6"/>
      <c r="CI96" s="6"/>
      <c r="CJ96" s="13">
        <f>((Q96-CB96)/CB96)*100</f>
        <v>3579.9999999999995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</row>
    <row r="97" spans="1:160" x14ac:dyDescent="0.3">
      <c r="A97" s="6" t="s">
        <v>205</v>
      </c>
      <c r="B97" s="10" t="s">
        <v>205</v>
      </c>
      <c r="C97" s="10" t="s">
        <v>206</v>
      </c>
      <c r="D97" s="6" t="s">
        <v>206</v>
      </c>
      <c r="E97" s="7"/>
      <c r="F97" s="7"/>
      <c r="G97" s="7">
        <v>5</v>
      </c>
      <c r="H97" s="7">
        <v>5.5</v>
      </c>
      <c r="I97" s="1">
        <v>5.4431039999999999</v>
      </c>
      <c r="J97" s="1"/>
      <c r="K97" s="1"/>
      <c r="L97" s="1"/>
      <c r="M97" s="1"/>
      <c r="N97" s="1"/>
      <c r="O97" s="1"/>
      <c r="P97" s="1"/>
      <c r="Q97" s="12">
        <v>5.4431039999999999</v>
      </c>
      <c r="R97" s="1">
        <v>5.4431039999999999</v>
      </c>
      <c r="S97" s="1"/>
      <c r="T97" s="1">
        <v>5.25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f t="shared" si="56"/>
        <v>5.314368</v>
      </c>
      <c r="AF97" s="1"/>
      <c r="AG97" s="1">
        <f t="shared" si="57"/>
        <v>5.314368</v>
      </c>
      <c r="AH97" s="1">
        <v>12</v>
      </c>
      <c r="AI97" s="1">
        <v>15</v>
      </c>
      <c r="AJ97" s="1">
        <v>12</v>
      </c>
      <c r="AK97" s="1">
        <v>15</v>
      </c>
      <c r="AL97" s="1">
        <v>13.5</v>
      </c>
      <c r="AM97" s="1">
        <v>13.5</v>
      </c>
      <c r="AN97" s="1"/>
      <c r="AO97" s="1"/>
      <c r="AP97" s="1"/>
      <c r="AQ97" s="1">
        <f t="shared" si="58"/>
        <v>13.5</v>
      </c>
      <c r="AR97" s="1"/>
      <c r="AS97" s="12">
        <f t="shared" si="59"/>
        <v>13.5</v>
      </c>
      <c r="AT97" s="1">
        <v>3.5</v>
      </c>
      <c r="AU97" s="1"/>
      <c r="AV97" s="1"/>
      <c r="AW97" s="1"/>
      <c r="AX97" s="1"/>
      <c r="AY97" s="1"/>
      <c r="AZ97" s="1">
        <v>2.6</v>
      </c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>
        <f>AVERAGE(AT97:AU97)</f>
        <v>3.5</v>
      </c>
      <c r="BM97" s="1">
        <f t="shared" si="60"/>
        <v>2.6</v>
      </c>
      <c r="BN97" s="12">
        <f t="shared" si="52"/>
        <v>3.05</v>
      </c>
      <c r="BO97" s="1"/>
      <c r="BP97" s="1"/>
      <c r="BQ97" s="1">
        <v>141.7475</v>
      </c>
      <c r="BR97" s="1"/>
      <c r="BS97" s="1"/>
      <c r="BT97" s="1"/>
      <c r="BU97" s="1"/>
      <c r="BV97" s="1"/>
      <c r="BW97" s="1"/>
      <c r="BX97" s="1">
        <v>141.7475</v>
      </c>
      <c r="BY97" s="1"/>
      <c r="BZ97" s="1"/>
      <c r="CA97" s="1">
        <f t="shared" si="61"/>
        <v>141.7475</v>
      </c>
      <c r="CB97" s="12">
        <f t="shared" si="62"/>
        <v>0.1417475</v>
      </c>
      <c r="CC97" s="13">
        <f t="shared" si="28"/>
        <v>0.43232987499999997</v>
      </c>
      <c r="CD97" s="6"/>
      <c r="CE97" s="6"/>
      <c r="CF97" s="6"/>
      <c r="CG97" s="6"/>
      <c r="CH97" s="6"/>
      <c r="CI97" s="6"/>
      <c r="CJ97" s="13">
        <f>((Q97-CB97)/CB97)*100</f>
        <v>3740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</row>
    <row r="98" spans="1:160" x14ac:dyDescent="0.3">
      <c r="A98" s="6" t="s">
        <v>207</v>
      </c>
      <c r="B98" s="10" t="s">
        <v>207</v>
      </c>
      <c r="C98" s="10" t="s">
        <v>208</v>
      </c>
      <c r="D98" s="6" t="s">
        <v>208</v>
      </c>
      <c r="E98" s="7">
        <v>15.875719999999999</v>
      </c>
      <c r="F98" s="7">
        <v>22.679600000000001</v>
      </c>
      <c r="G98" s="7">
        <v>16</v>
      </c>
      <c r="H98" s="7">
        <v>20</v>
      </c>
      <c r="I98" s="1"/>
      <c r="J98" s="1"/>
      <c r="K98" s="1"/>
      <c r="L98" s="1"/>
      <c r="M98" s="1"/>
      <c r="N98" s="1"/>
      <c r="O98" s="1"/>
      <c r="P98" s="1"/>
      <c r="Q98" s="12">
        <v>19.277660000000001</v>
      </c>
      <c r="R98" s="1"/>
      <c r="S98" s="1"/>
      <c r="T98" s="1">
        <v>18</v>
      </c>
      <c r="U98" s="1"/>
      <c r="V98" s="1"/>
      <c r="W98" s="1">
        <f>AVERAGE(X98:Y98)</f>
        <v>20</v>
      </c>
      <c r="X98" s="1">
        <v>20</v>
      </c>
      <c r="Y98" s="1"/>
      <c r="Z98" s="1"/>
      <c r="AA98" s="1"/>
      <c r="AB98" s="1"/>
      <c r="AC98" s="1"/>
      <c r="AD98" s="1"/>
      <c r="AE98" s="1">
        <f t="shared" si="56"/>
        <v>18.638829999999999</v>
      </c>
      <c r="AF98" s="1">
        <f>AVERAGE(X98:AD98)</f>
        <v>20</v>
      </c>
      <c r="AG98" s="1">
        <f t="shared" si="57"/>
        <v>19.319414999999999</v>
      </c>
      <c r="AH98" s="1">
        <v>12</v>
      </c>
      <c r="AI98" s="1">
        <v>14</v>
      </c>
      <c r="AJ98" s="1">
        <v>12</v>
      </c>
      <c r="AK98" s="1">
        <v>14</v>
      </c>
      <c r="AL98" s="1">
        <v>13</v>
      </c>
      <c r="AM98" s="1">
        <v>13</v>
      </c>
      <c r="AN98" s="1"/>
      <c r="AO98" s="1"/>
      <c r="AP98" s="1"/>
      <c r="AQ98" s="1">
        <f t="shared" si="58"/>
        <v>13</v>
      </c>
      <c r="AR98" s="1"/>
      <c r="AS98" s="12">
        <f t="shared" si="59"/>
        <v>13</v>
      </c>
      <c r="AT98" s="1"/>
      <c r="AU98" s="1"/>
      <c r="AV98" s="1"/>
      <c r="AW98" s="1"/>
      <c r="AX98" s="1"/>
      <c r="AY98" s="1"/>
      <c r="AZ98" s="1">
        <v>6.6</v>
      </c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>
        <f t="shared" si="60"/>
        <v>6.6</v>
      </c>
      <c r="BN98" s="12">
        <f t="shared" si="52"/>
        <v>6.6</v>
      </c>
      <c r="BO98" s="1"/>
      <c r="BP98" s="1"/>
      <c r="BQ98" s="1"/>
      <c r="BR98" s="1">
        <v>470</v>
      </c>
      <c r="BS98" s="1"/>
      <c r="BT98" s="1"/>
      <c r="BU98" s="1"/>
      <c r="BV98" s="1">
        <v>470</v>
      </c>
      <c r="BW98" s="1"/>
      <c r="BX98" s="1"/>
      <c r="BY98" s="1">
        <f>AVERAGE(BR98:BU98)</f>
        <v>470</v>
      </c>
      <c r="BZ98" s="1">
        <f>BY98/1000</f>
        <v>0.47</v>
      </c>
      <c r="CA98" s="1">
        <f t="shared" si="61"/>
        <v>470</v>
      </c>
      <c r="CB98" s="12">
        <f t="shared" si="62"/>
        <v>0.47</v>
      </c>
      <c r="CC98" s="13">
        <f t="shared" ref="CC98:CC161" si="63">CB98*BN98</f>
        <v>3.1019999999999999</v>
      </c>
      <c r="CD98" s="6"/>
      <c r="CE98" s="6"/>
      <c r="CF98" s="6"/>
      <c r="CG98" s="6"/>
      <c r="CH98" s="6"/>
      <c r="CI98" s="6"/>
      <c r="CJ98" s="13">
        <f>((Q98-CB98)/CB98)*100</f>
        <v>4001.6297872340429</v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</row>
    <row r="99" spans="1:160" x14ac:dyDescent="0.3">
      <c r="A99" s="6" t="s">
        <v>209</v>
      </c>
      <c r="B99" s="10" t="s">
        <v>209</v>
      </c>
      <c r="C99" s="10" t="s">
        <v>210</v>
      </c>
      <c r="D99" s="6" t="s">
        <v>210</v>
      </c>
      <c r="E99" s="7">
        <v>27.215520000000001</v>
      </c>
      <c r="F99" s="7">
        <v>45.359200000000001</v>
      </c>
      <c r="G99" s="7"/>
      <c r="H99" s="7"/>
      <c r="I99" s="1"/>
      <c r="J99" s="1"/>
      <c r="K99" s="1">
        <v>29.5</v>
      </c>
      <c r="L99" s="1"/>
      <c r="M99" s="1"/>
      <c r="N99" s="1"/>
      <c r="O99" s="1">
        <v>27</v>
      </c>
      <c r="P99" s="1"/>
      <c r="Q99" s="12">
        <v>36.28736</v>
      </c>
      <c r="R99" s="1"/>
      <c r="S99" s="1"/>
      <c r="T99" s="1">
        <v>28.25</v>
      </c>
      <c r="U99" s="1">
        <v>29.5</v>
      </c>
      <c r="V99" s="1">
        <v>27</v>
      </c>
      <c r="W99" s="1">
        <f>AVERAGE(X99:Y99)</f>
        <v>36.28</v>
      </c>
      <c r="X99" s="1">
        <v>36.28</v>
      </c>
      <c r="Y99" s="1"/>
      <c r="Z99" s="1"/>
      <c r="AA99" s="1">
        <v>29</v>
      </c>
      <c r="AB99" s="1"/>
      <c r="AC99" s="1"/>
      <c r="AD99" s="1">
        <v>29.48</v>
      </c>
      <c r="AE99" s="1">
        <f t="shared" si="56"/>
        <v>32.268680000000003</v>
      </c>
      <c r="AF99" s="1">
        <f>AVERAGE(X99:AD99)</f>
        <v>31.58666666666667</v>
      </c>
      <c r="AG99" s="1">
        <f t="shared" si="57"/>
        <v>31.927673333333338</v>
      </c>
      <c r="AH99" s="1">
        <v>10</v>
      </c>
      <c r="AI99" s="1">
        <v>12</v>
      </c>
      <c r="AJ99" s="1">
        <v>10</v>
      </c>
      <c r="AK99" s="1">
        <v>12</v>
      </c>
      <c r="AL99" s="1">
        <v>11</v>
      </c>
      <c r="AM99" s="1">
        <v>11</v>
      </c>
      <c r="AN99" s="1"/>
      <c r="AO99" s="1"/>
      <c r="AP99" s="1">
        <v>11.8</v>
      </c>
      <c r="AQ99" s="1">
        <f t="shared" si="58"/>
        <v>11</v>
      </c>
      <c r="AR99" s="1">
        <f>AVERAGE(AN99:AP99)</f>
        <v>11.8</v>
      </c>
      <c r="AS99" s="12">
        <f t="shared" si="59"/>
        <v>11.4</v>
      </c>
      <c r="AT99" s="1"/>
      <c r="AU99" s="1"/>
      <c r="AV99" s="1"/>
      <c r="AW99" s="1">
        <v>7.3</v>
      </c>
      <c r="AX99" s="1"/>
      <c r="AY99" s="1"/>
      <c r="AZ99" s="1">
        <v>4.3</v>
      </c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>
        <f t="shared" si="60"/>
        <v>5.8</v>
      </c>
      <c r="BN99" s="12">
        <f t="shared" si="52"/>
        <v>5.8</v>
      </c>
      <c r="BO99" s="1"/>
      <c r="BP99" s="1"/>
      <c r="BQ99" s="1">
        <v>368.54349999999999</v>
      </c>
      <c r="BR99" s="1">
        <v>330</v>
      </c>
      <c r="BS99" s="1"/>
      <c r="BT99" s="1"/>
      <c r="BU99" s="1"/>
      <c r="BV99" s="1">
        <v>330</v>
      </c>
      <c r="BW99" s="1"/>
      <c r="BX99" s="1">
        <v>368.54349999999999</v>
      </c>
      <c r="BY99" s="1">
        <f>AVERAGE(BR99:BU99)</f>
        <v>330</v>
      </c>
      <c r="BZ99" s="1">
        <f>BY99/1000</f>
        <v>0.33</v>
      </c>
      <c r="CA99" s="1">
        <f t="shared" si="61"/>
        <v>349.27175</v>
      </c>
      <c r="CB99" s="12">
        <f t="shared" si="62"/>
        <v>0.34927174999999999</v>
      </c>
      <c r="CC99" s="13">
        <f t="shared" si="63"/>
        <v>2.02577615</v>
      </c>
      <c r="CD99" s="6"/>
      <c r="CE99" s="6"/>
      <c r="CF99" s="6"/>
      <c r="CG99" s="6"/>
      <c r="CH99" s="6"/>
      <c r="CI99" s="6"/>
      <c r="CJ99" s="13">
        <f>((Q99-CB99)/CB99)*100</f>
        <v>10289.434587824524</v>
      </c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</row>
    <row r="100" spans="1:160" x14ac:dyDescent="0.3">
      <c r="A100" s="6" t="s">
        <v>211</v>
      </c>
      <c r="B100" s="10" t="s">
        <v>211</v>
      </c>
      <c r="C100" s="10" t="s">
        <v>212</v>
      </c>
      <c r="D100" s="6" t="s">
        <v>212</v>
      </c>
      <c r="E100" s="7"/>
      <c r="F100" s="7"/>
      <c r="G100" s="7"/>
      <c r="H100" s="7"/>
      <c r="I100" s="1"/>
      <c r="J100" s="1"/>
      <c r="K100" s="1">
        <v>45.5</v>
      </c>
      <c r="L100" s="1">
        <v>52</v>
      </c>
      <c r="M100" s="1"/>
      <c r="N100" s="1"/>
      <c r="O100" s="1">
        <v>34</v>
      </c>
      <c r="P100" s="1">
        <v>38.5</v>
      </c>
      <c r="Q100" s="12"/>
      <c r="R100" s="1"/>
      <c r="S100" s="1"/>
      <c r="T100" s="1">
        <v>42.5</v>
      </c>
      <c r="U100" s="1">
        <v>48.75</v>
      </c>
      <c r="V100" s="1">
        <v>36.25</v>
      </c>
      <c r="W100" s="1">
        <f>AVERAGE(X100:Y100)</f>
        <v>41</v>
      </c>
      <c r="X100" s="1">
        <v>41</v>
      </c>
      <c r="Y100" s="1"/>
      <c r="Z100" s="1"/>
      <c r="AA100" s="1"/>
      <c r="AB100" s="1"/>
      <c r="AC100" s="1"/>
      <c r="AD100" s="1"/>
      <c r="AE100" s="1">
        <f t="shared" si="56"/>
        <v>42.5</v>
      </c>
      <c r="AF100" s="1">
        <f>AVERAGE(X100:AD100)</f>
        <v>41</v>
      </c>
      <c r="AG100" s="1">
        <f t="shared" si="57"/>
        <v>41.75</v>
      </c>
      <c r="AH100" s="1">
        <v>10</v>
      </c>
      <c r="AI100" s="1">
        <v>13</v>
      </c>
      <c r="AJ100" s="1">
        <v>12</v>
      </c>
      <c r="AK100" s="1">
        <v>13</v>
      </c>
      <c r="AL100" s="1">
        <v>11.5</v>
      </c>
      <c r="AM100" s="1">
        <v>12.5</v>
      </c>
      <c r="AN100" s="1"/>
      <c r="AO100" s="1"/>
      <c r="AP100" s="1"/>
      <c r="AQ100" s="1">
        <f t="shared" si="58"/>
        <v>12</v>
      </c>
      <c r="AR100" s="1"/>
      <c r="AS100" s="12">
        <f t="shared" si="59"/>
        <v>12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>
        <v>5.5</v>
      </c>
      <c r="BK100" s="1">
        <v>4</v>
      </c>
      <c r="BL100" s="1"/>
      <c r="BM100" s="1"/>
      <c r="BN100" s="12">
        <f t="shared" si="52"/>
        <v>4.75</v>
      </c>
      <c r="BO100" s="1"/>
      <c r="BP100" s="1"/>
      <c r="BQ100" s="1"/>
      <c r="BR100" s="1">
        <v>631</v>
      </c>
      <c r="BS100" s="1"/>
      <c r="BT100" s="1"/>
      <c r="BU100" s="1"/>
      <c r="BV100" s="1">
        <v>631</v>
      </c>
      <c r="BW100" s="1"/>
      <c r="BX100" s="1"/>
      <c r="BY100" s="1">
        <f>AVERAGE(BR100:BU100)</f>
        <v>631</v>
      </c>
      <c r="BZ100" s="1">
        <f>BY100/1000</f>
        <v>0.63100000000000001</v>
      </c>
      <c r="CA100" s="1">
        <f t="shared" si="61"/>
        <v>631</v>
      </c>
      <c r="CB100" s="12">
        <f t="shared" si="62"/>
        <v>0.63100000000000001</v>
      </c>
      <c r="CC100" s="13">
        <f t="shared" si="63"/>
        <v>2.9972500000000002</v>
      </c>
      <c r="CD100" s="6"/>
      <c r="CE100" s="6"/>
      <c r="CF100" s="6"/>
      <c r="CG100" s="6"/>
      <c r="CH100" s="6"/>
      <c r="CI100" s="6"/>
      <c r="CJ100" s="13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</row>
    <row r="101" spans="1:160" x14ac:dyDescent="0.3">
      <c r="A101" s="6" t="s">
        <v>213</v>
      </c>
      <c r="B101" s="10" t="s">
        <v>213</v>
      </c>
      <c r="C101" s="10" t="s">
        <v>214</v>
      </c>
      <c r="D101" s="6" t="s">
        <v>215</v>
      </c>
      <c r="E101" s="7">
        <v>2.26796</v>
      </c>
      <c r="F101" s="7">
        <v>4.53592</v>
      </c>
      <c r="G101" s="7">
        <v>1.5</v>
      </c>
      <c r="H101" s="7">
        <v>4.5</v>
      </c>
      <c r="I101" s="1"/>
      <c r="J101" s="1"/>
      <c r="K101" s="1"/>
      <c r="L101" s="1"/>
      <c r="M101" s="1"/>
      <c r="N101" s="1"/>
      <c r="O101" s="1"/>
      <c r="P101" s="1"/>
      <c r="Q101" s="12">
        <v>3.4019400000000002</v>
      </c>
      <c r="R101" s="1"/>
      <c r="S101" s="1"/>
      <c r="T101" s="1">
        <v>3</v>
      </c>
      <c r="U101" s="1"/>
      <c r="V101" s="1"/>
      <c r="W101" s="1">
        <f>AVERAGE(X101:Y101)</f>
        <v>4</v>
      </c>
      <c r="X101" s="1">
        <v>4.5</v>
      </c>
      <c r="Y101" s="1">
        <v>3.5</v>
      </c>
      <c r="Z101" s="1">
        <v>3</v>
      </c>
      <c r="AA101" s="1"/>
      <c r="AB101" s="1"/>
      <c r="AC101" s="1">
        <v>2.2000000000000002</v>
      </c>
      <c r="AD101" s="1"/>
      <c r="AE101" s="1">
        <f t="shared" si="56"/>
        <v>3.2009699999999999</v>
      </c>
      <c r="AF101" s="1">
        <f>AVERAGE(X101:AD101)</f>
        <v>3.3</v>
      </c>
      <c r="AG101" s="1">
        <f t="shared" si="57"/>
        <v>3.2504849999999998</v>
      </c>
      <c r="AH101" s="1">
        <v>14</v>
      </c>
      <c r="AI101" s="1">
        <v>16</v>
      </c>
      <c r="AJ101" s="1">
        <v>13</v>
      </c>
      <c r="AK101" s="1">
        <v>15</v>
      </c>
      <c r="AL101" s="1">
        <v>15</v>
      </c>
      <c r="AM101" s="1">
        <v>14</v>
      </c>
      <c r="AN101" s="1"/>
      <c r="AO101" s="1"/>
      <c r="AP101" s="1"/>
      <c r="AQ101" s="1">
        <f t="shared" si="58"/>
        <v>14.5</v>
      </c>
      <c r="AR101" s="1"/>
      <c r="AS101" s="12">
        <f t="shared" si="59"/>
        <v>14.5</v>
      </c>
      <c r="AT101" s="1"/>
      <c r="AU101" s="1"/>
      <c r="AV101" s="1"/>
      <c r="AW101" s="1"/>
      <c r="AX101" s="1"/>
      <c r="AY101" s="1"/>
      <c r="AZ101" s="1">
        <v>3.3</v>
      </c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>
        <f>AVERAGE(AV101:BI101)</f>
        <v>3.3</v>
      </c>
      <c r="BN101" s="12">
        <f t="shared" si="52"/>
        <v>3.3</v>
      </c>
      <c r="BO101" s="1"/>
      <c r="BP101" s="1"/>
      <c r="BQ101" s="1">
        <v>127.57275</v>
      </c>
      <c r="BR101" s="1">
        <v>135</v>
      </c>
      <c r="BS101" s="1"/>
      <c r="BT101" s="1"/>
      <c r="BU101" s="1"/>
      <c r="BV101" s="1">
        <v>150</v>
      </c>
      <c r="BW101" s="1">
        <v>120</v>
      </c>
      <c r="BX101" s="1">
        <v>127.57275</v>
      </c>
      <c r="BY101" s="1">
        <f>AVERAGE(BR101:BU101)</f>
        <v>135</v>
      </c>
      <c r="BZ101" s="1">
        <f>BY101/1000</f>
        <v>0.13500000000000001</v>
      </c>
      <c r="CA101" s="1">
        <f t="shared" si="61"/>
        <v>131.28637499999999</v>
      </c>
      <c r="CB101" s="12">
        <f t="shared" si="62"/>
        <v>0.13128637499999998</v>
      </c>
      <c r="CC101" s="13">
        <f t="shared" si="63"/>
        <v>0.43324503749999993</v>
      </c>
      <c r="CD101" s="6">
        <v>15</v>
      </c>
      <c r="CE101" s="6"/>
      <c r="CF101" s="6">
        <f>AVERAGE(CD101:CE101)</f>
        <v>15</v>
      </c>
      <c r="CG101" s="6">
        <v>41.7</v>
      </c>
      <c r="CH101" s="6"/>
      <c r="CI101" s="6">
        <v>41.7</v>
      </c>
      <c r="CJ101" s="13">
        <f>((Q101-CB101)/CB101)*100</f>
        <v>2491.2361431260483</v>
      </c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</row>
    <row r="102" spans="1:160" x14ac:dyDescent="0.3">
      <c r="A102" s="6" t="s">
        <v>216</v>
      </c>
      <c r="B102" s="10" t="s">
        <v>216</v>
      </c>
      <c r="C102" s="10" t="s">
        <v>217</v>
      </c>
      <c r="D102" s="6" t="s">
        <v>217</v>
      </c>
      <c r="E102" s="7">
        <v>5.8966960000000004</v>
      </c>
      <c r="F102" s="7">
        <v>7.7110640000000004</v>
      </c>
      <c r="G102" s="7">
        <v>4</v>
      </c>
      <c r="H102" s="7">
        <v>7.5</v>
      </c>
      <c r="I102" s="1"/>
      <c r="J102" s="1"/>
      <c r="K102" s="1"/>
      <c r="L102" s="1"/>
      <c r="M102" s="1"/>
      <c r="N102" s="1"/>
      <c r="O102" s="1"/>
      <c r="P102" s="1"/>
      <c r="Q102" s="12">
        <v>6.8038800000000004</v>
      </c>
      <c r="R102" s="1"/>
      <c r="S102" s="1"/>
      <c r="T102" s="1">
        <v>5.75</v>
      </c>
      <c r="U102" s="1"/>
      <c r="V102" s="1"/>
      <c r="W102" s="1">
        <f>AVERAGE(X102:Y102)</f>
        <v>7</v>
      </c>
      <c r="X102" s="1">
        <v>7</v>
      </c>
      <c r="Y102" s="1"/>
      <c r="Z102" s="1"/>
      <c r="AA102" s="1"/>
      <c r="AB102" s="1"/>
      <c r="AC102" s="1"/>
      <c r="AD102" s="1"/>
      <c r="AE102" s="1">
        <f t="shared" si="56"/>
        <v>6.2769399999999997</v>
      </c>
      <c r="AF102" s="1">
        <f>AVERAGE(X102:AD102)</f>
        <v>7</v>
      </c>
      <c r="AG102" s="1">
        <f t="shared" si="57"/>
        <v>6.6384699999999999</v>
      </c>
      <c r="AH102" s="1">
        <v>13</v>
      </c>
      <c r="AI102" s="1">
        <v>15</v>
      </c>
      <c r="AJ102" s="1">
        <v>13</v>
      </c>
      <c r="AK102" s="1">
        <v>15</v>
      </c>
      <c r="AL102" s="1">
        <v>14</v>
      </c>
      <c r="AM102" s="1">
        <v>14</v>
      </c>
      <c r="AN102" s="1"/>
      <c r="AO102" s="1"/>
      <c r="AP102" s="1"/>
      <c r="AQ102" s="1">
        <f t="shared" si="58"/>
        <v>14</v>
      </c>
      <c r="AR102" s="1"/>
      <c r="AS102" s="12">
        <f t="shared" si="59"/>
        <v>14</v>
      </c>
      <c r="AT102" s="1">
        <v>5</v>
      </c>
      <c r="AU102" s="1"/>
      <c r="AV102" s="1"/>
      <c r="AW102" s="1"/>
      <c r="AX102" s="1"/>
      <c r="AY102" s="1"/>
      <c r="AZ102" s="1">
        <v>4.5</v>
      </c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>
        <f>AVERAGE(AT102:AU102)</f>
        <v>5</v>
      </c>
      <c r="BM102" s="1">
        <f>AVERAGE(AV102:BI102)</f>
        <v>4.5</v>
      </c>
      <c r="BN102" s="12">
        <f t="shared" si="52"/>
        <v>4.75</v>
      </c>
      <c r="BO102" s="1"/>
      <c r="BP102" s="1"/>
      <c r="BQ102" s="1"/>
      <c r="BR102" s="1">
        <v>190</v>
      </c>
      <c r="BS102" s="1"/>
      <c r="BT102" s="1"/>
      <c r="BU102" s="1"/>
      <c r="BV102" s="1">
        <v>190</v>
      </c>
      <c r="BW102" s="1"/>
      <c r="BX102" s="1"/>
      <c r="BY102" s="1">
        <f>AVERAGE(BR102:BU102)</f>
        <v>190</v>
      </c>
      <c r="BZ102" s="1">
        <f>BY102/1000</f>
        <v>0.19</v>
      </c>
      <c r="CA102" s="1">
        <f t="shared" si="61"/>
        <v>190</v>
      </c>
      <c r="CB102" s="12">
        <f t="shared" si="62"/>
        <v>0.19</v>
      </c>
      <c r="CC102" s="13">
        <f t="shared" si="63"/>
        <v>0.90249999999999997</v>
      </c>
      <c r="CD102" s="6"/>
      <c r="CE102" s="6"/>
      <c r="CF102" s="6"/>
      <c r="CG102" s="6"/>
      <c r="CH102" s="6"/>
      <c r="CI102" s="6"/>
      <c r="CJ102" s="13">
        <f>((Q102-CB102)/CB102)*100</f>
        <v>3480.9894736842102</v>
      </c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</row>
    <row r="103" spans="1:160" x14ac:dyDescent="0.3">
      <c r="A103" s="6" t="s">
        <v>218</v>
      </c>
      <c r="B103" s="10" t="s">
        <v>218</v>
      </c>
      <c r="C103" s="10" t="s">
        <v>219</v>
      </c>
      <c r="D103" s="6" t="s">
        <v>219</v>
      </c>
      <c r="E103" s="7">
        <v>11.3398</v>
      </c>
      <c r="F103" s="7">
        <v>18.14368</v>
      </c>
      <c r="G103" s="7"/>
      <c r="H103" s="7"/>
      <c r="I103" s="1"/>
      <c r="J103" s="1"/>
      <c r="K103" s="1"/>
      <c r="L103" s="1"/>
      <c r="M103" s="1"/>
      <c r="N103" s="1"/>
      <c r="O103" s="1">
        <v>14</v>
      </c>
      <c r="P103" s="1">
        <v>18</v>
      </c>
      <c r="Q103" s="12">
        <v>14.74174</v>
      </c>
      <c r="R103" s="1"/>
      <c r="S103" s="1"/>
      <c r="T103" s="1">
        <v>16</v>
      </c>
      <c r="U103" s="1"/>
      <c r="V103" s="1">
        <v>16</v>
      </c>
      <c r="W103" s="1"/>
      <c r="X103" s="1"/>
      <c r="Y103" s="1"/>
      <c r="Z103" s="1"/>
      <c r="AA103" s="1"/>
      <c r="AB103" s="1"/>
      <c r="AC103" s="1"/>
      <c r="AD103" s="1"/>
      <c r="AE103" s="1">
        <f t="shared" si="56"/>
        <v>15.37087</v>
      </c>
      <c r="AF103" s="1"/>
      <c r="AG103" s="1">
        <f t="shared" si="57"/>
        <v>15.37087</v>
      </c>
      <c r="AH103" s="1">
        <v>14</v>
      </c>
      <c r="AI103" s="1">
        <v>16</v>
      </c>
      <c r="AJ103" s="1">
        <v>12</v>
      </c>
      <c r="AK103" s="1">
        <v>14</v>
      </c>
      <c r="AL103" s="1">
        <v>15</v>
      </c>
      <c r="AM103" s="1">
        <v>13</v>
      </c>
      <c r="AN103" s="1"/>
      <c r="AO103" s="1"/>
      <c r="AP103" s="1"/>
      <c r="AQ103" s="1">
        <f t="shared" si="58"/>
        <v>14</v>
      </c>
      <c r="AR103" s="1"/>
      <c r="AS103" s="12">
        <f t="shared" si="59"/>
        <v>14</v>
      </c>
      <c r="AT103" s="1"/>
      <c r="AU103" s="1"/>
      <c r="AV103" s="1"/>
      <c r="AW103" s="1"/>
      <c r="AX103" s="1"/>
      <c r="AY103" s="1"/>
      <c r="AZ103" s="1">
        <v>5.0999999999999996</v>
      </c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>
        <f>AVERAGE(AV103:BI103)</f>
        <v>5.0999999999999996</v>
      </c>
      <c r="BN103" s="12">
        <f t="shared" si="52"/>
        <v>5.0999999999999996</v>
      </c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2"/>
      <c r="CC103" s="13">
        <f t="shared" si="63"/>
        <v>0</v>
      </c>
      <c r="CD103" s="6"/>
      <c r="CE103" s="6"/>
      <c r="CF103" s="6"/>
      <c r="CG103" s="6"/>
      <c r="CH103" s="6"/>
      <c r="CI103" s="6"/>
      <c r="CJ103" s="13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</row>
    <row r="104" spans="1:160" x14ac:dyDescent="0.3">
      <c r="A104" s="6" t="s">
        <v>220</v>
      </c>
      <c r="B104" s="10" t="s">
        <v>220</v>
      </c>
      <c r="C104" s="10" t="s">
        <v>221</v>
      </c>
      <c r="D104" s="6" t="s">
        <v>221</v>
      </c>
      <c r="E104" s="7"/>
      <c r="F104" s="7"/>
      <c r="G104" s="7"/>
      <c r="H104" s="7"/>
      <c r="I104" s="1"/>
      <c r="J104" s="1"/>
      <c r="K104" s="1">
        <v>13.5</v>
      </c>
      <c r="L104" s="1"/>
      <c r="M104" s="1"/>
      <c r="N104" s="1"/>
      <c r="O104" s="1">
        <v>12.5</v>
      </c>
      <c r="P104" s="1"/>
      <c r="Q104" s="12"/>
      <c r="R104" s="1"/>
      <c r="S104" s="1"/>
      <c r="T104" s="1">
        <v>13</v>
      </c>
      <c r="U104" s="1">
        <v>13.5</v>
      </c>
      <c r="V104" s="1">
        <v>12.5</v>
      </c>
      <c r="W104" s="1">
        <f>AVERAGE(X104:Y104)</f>
        <v>12</v>
      </c>
      <c r="X104" s="1">
        <v>12</v>
      </c>
      <c r="Y104" s="1"/>
      <c r="Z104" s="1"/>
      <c r="AA104" s="1"/>
      <c r="AB104" s="1"/>
      <c r="AC104" s="1"/>
      <c r="AD104" s="1">
        <v>11.34</v>
      </c>
      <c r="AE104" s="1">
        <f t="shared" si="56"/>
        <v>13</v>
      </c>
      <c r="AF104" s="1">
        <f>AVERAGE(X104:AD104)</f>
        <v>11.67</v>
      </c>
      <c r="AG104" s="1">
        <f t="shared" si="57"/>
        <v>12.335000000000001</v>
      </c>
      <c r="AH104" s="1">
        <v>12</v>
      </c>
      <c r="AI104" s="1">
        <v>13</v>
      </c>
      <c r="AJ104" s="1">
        <v>12</v>
      </c>
      <c r="AK104" s="1">
        <v>15</v>
      </c>
      <c r="AL104" s="1">
        <v>12.5</v>
      </c>
      <c r="AM104" s="1">
        <v>13.5</v>
      </c>
      <c r="AN104" s="1"/>
      <c r="AO104" s="1"/>
      <c r="AP104" s="1">
        <v>11.3</v>
      </c>
      <c r="AQ104" s="1">
        <f t="shared" si="58"/>
        <v>13</v>
      </c>
      <c r="AR104" s="1">
        <f>AVERAGE(AN104:AP104)</f>
        <v>11.3</v>
      </c>
      <c r="AS104" s="12">
        <f t="shared" si="59"/>
        <v>12.15</v>
      </c>
      <c r="AT104" s="1">
        <v>6.5</v>
      </c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>
        <f>AVERAGE(AT104:AU104)</f>
        <v>6.5</v>
      </c>
      <c r="BM104" s="1"/>
      <c r="BN104" s="12">
        <f t="shared" si="52"/>
        <v>6.5</v>
      </c>
      <c r="BO104" s="1"/>
      <c r="BP104" s="1"/>
      <c r="BQ104" s="1">
        <v>354.36874999999998</v>
      </c>
      <c r="BR104" s="1">
        <v>340</v>
      </c>
      <c r="BS104" s="1"/>
      <c r="BT104" s="1"/>
      <c r="BU104" s="1"/>
      <c r="BV104" s="1">
        <v>340</v>
      </c>
      <c r="BW104" s="1"/>
      <c r="BX104" s="1">
        <v>354.36874999999998</v>
      </c>
      <c r="BY104" s="1">
        <f>AVERAGE(BR104:BU104)</f>
        <v>340</v>
      </c>
      <c r="BZ104" s="1">
        <f>BY104/1000</f>
        <v>0.34</v>
      </c>
      <c r="CA104" s="1">
        <f>AVERAGE(BQ104:BU104)</f>
        <v>347.18437499999999</v>
      </c>
      <c r="CB104" s="12">
        <f>CA104/1000</f>
        <v>0.34718437499999999</v>
      </c>
      <c r="CC104" s="13">
        <f t="shared" si="63"/>
        <v>2.2566984374999999</v>
      </c>
      <c r="CD104" s="6"/>
      <c r="CE104" s="6"/>
      <c r="CF104" s="6"/>
      <c r="CG104" s="6"/>
      <c r="CH104" s="6"/>
      <c r="CI104" s="6"/>
      <c r="CJ104" s="13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</row>
    <row r="105" spans="1:160" x14ac:dyDescent="0.3">
      <c r="A105" s="6" t="s">
        <v>222</v>
      </c>
      <c r="B105" s="10" t="s">
        <v>222</v>
      </c>
      <c r="C105" s="10" t="s">
        <v>223</v>
      </c>
      <c r="D105" s="6" t="s">
        <v>223</v>
      </c>
      <c r="E105" s="7">
        <v>20.411639999999998</v>
      </c>
      <c r="F105" s="7">
        <v>24.947559999999999</v>
      </c>
      <c r="G105" s="7">
        <v>20</v>
      </c>
      <c r="H105" s="7">
        <v>25</v>
      </c>
      <c r="I105" s="1"/>
      <c r="J105" s="1"/>
      <c r="K105" s="1"/>
      <c r="L105" s="1"/>
      <c r="M105" s="1"/>
      <c r="N105" s="1"/>
      <c r="O105" s="1"/>
      <c r="P105" s="1"/>
      <c r="Q105" s="12">
        <v>22.679600000000001</v>
      </c>
      <c r="R105" s="1"/>
      <c r="S105" s="1"/>
      <c r="T105" s="1">
        <v>22.5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>
        <f t="shared" si="56"/>
        <v>22.5898</v>
      </c>
      <c r="AF105" s="1"/>
      <c r="AG105" s="1">
        <f t="shared" si="57"/>
        <v>22.5898</v>
      </c>
      <c r="AH105" s="1">
        <v>12</v>
      </c>
      <c r="AI105" s="1">
        <v>14</v>
      </c>
      <c r="AJ105" s="1">
        <v>12</v>
      </c>
      <c r="AK105" s="1">
        <v>14</v>
      </c>
      <c r="AL105" s="1">
        <v>13</v>
      </c>
      <c r="AM105" s="1">
        <v>13</v>
      </c>
      <c r="AN105" s="1"/>
      <c r="AO105" s="1"/>
      <c r="AP105" s="1"/>
      <c r="AQ105" s="1">
        <f t="shared" si="58"/>
        <v>13</v>
      </c>
      <c r="AR105" s="1"/>
      <c r="AS105" s="12">
        <f t="shared" si="59"/>
        <v>13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>
        <v>7</v>
      </c>
      <c r="BL105" s="1"/>
      <c r="BM105" s="1"/>
      <c r="BN105" s="12">
        <f t="shared" si="52"/>
        <v>7</v>
      </c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2"/>
      <c r="CC105" s="13">
        <f t="shared" si="63"/>
        <v>0</v>
      </c>
      <c r="CD105" s="6"/>
      <c r="CE105" s="6"/>
      <c r="CF105" s="6"/>
      <c r="CG105" s="6"/>
      <c r="CH105" s="6"/>
      <c r="CI105" s="6"/>
      <c r="CJ105" s="13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</row>
    <row r="106" spans="1:160" x14ac:dyDescent="0.3">
      <c r="A106" s="6" t="s">
        <v>224</v>
      </c>
      <c r="B106" s="10" t="s">
        <v>224</v>
      </c>
      <c r="C106" s="10" t="s">
        <v>225</v>
      </c>
      <c r="D106" s="6" t="s">
        <v>226</v>
      </c>
      <c r="E106" s="7">
        <v>1.360776</v>
      </c>
      <c r="F106" s="7">
        <v>3.175144</v>
      </c>
      <c r="G106" s="7">
        <v>1.5</v>
      </c>
      <c r="H106" s="7">
        <v>3</v>
      </c>
      <c r="I106" s="1"/>
      <c r="J106" s="1"/>
      <c r="K106" s="1"/>
      <c r="L106" s="1"/>
      <c r="M106" s="1"/>
      <c r="N106" s="1"/>
      <c r="O106" s="1"/>
      <c r="P106" s="1"/>
      <c r="Q106" s="12">
        <v>2.26796</v>
      </c>
      <c r="R106" s="1"/>
      <c r="S106" s="1"/>
      <c r="T106" s="1">
        <v>2.25</v>
      </c>
      <c r="U106" s="1"/>
      <c r="V106" s="1"/>
      <c r="W106" s="1"/>
      <c r="X106" s="1"/>
      <c r="Y106" s="1"/>
      <c r="Z106" s="1"/>
      <c r="AA106" s="1">
        <v>2</v>
      </c>
      <c r="AB106" s="1">
        <v>2.0409999999999999</v>
      </c>
      <c r="AC106" s="1"/>
      <c r="AD106" s="1">
        <v>2.27</v>
      </c>
      <c r="AE106" s="1">
        <f t="shared" si="56"/>
        <v>2.2589800000000002</v>
      </c>
      <c r="AF106" s="1">
        <f>AVERAGE(X106:AD106)</f>
        <v>2.1036666666666668</v>
      </c>
      <c r="AG106" s="1">
        <f t="shared" si="57"/>
        <v>2.1813233333333333</v>
      </c>
      <c r="AH106" s="1">
        <v>12</v>
      </c>
      <c r="AI106" s="1">
        <v>16</v>
      </c>
      <c r="AJ106" s="1">
        <v>15</v>
      </c>
      <c r="AK106" s="1"/>
      <c r="AL106" s="1">
        <v>14</v>
      </c>
      <c r="AM106" s="1">
        <v>15</v>
      </c>
      <c r="AN106" s="1"/>
      <c r="AO106" s="1"/>
      <c r="AP106" s="1"/>
      <c r="AQ106" s="1">
        <f t="shared" si="58"/>
        <v>14.333333333333334</v>
      </c>
      <c r="AR106" s="1"/>
      <c r="AS106" s="12">
        <f t="shared" si="59"/>
        <v>14.333333333333334</v>
      </c>
      <c r="AT106" s="1">
        <v>3</v>
      </c>
      <c r="AU106" s="1"/>
      <c r="AV106" s="1"/>
      <c r="AW106" s="1"/>
      <c r="AX106" s="1"/>
      <c r="AY106" s="1"/>
      <c r="AZ106" s="1">
        <v>2.4</v>
      </c>
      <c r="BA106" s="1"/>
      <c r="BB106" s="1"/>
      <c r="BC106" s="1"/>
      <c r="BD106" s="1"/>
      <c r="BE106" s="1"/>
      <c r="BF106" s="1">
        <v>4</v>
      </c>
      <c r="BG106" s="1"/>
      <c r="BH106" s="1"/>
      <c r="BI106" s="1"/>
      <c r="BJ106" s="1"/>
      <c r="BK106" s="1"/>
      <c r="BL106" s="1">
        <f>AVERAGE(AT106:AU106)</f>
        <v>3</v>
      </c>
      <c r="BM106" s="1">
        <f t="shared" ref="BM106:BM116" si="64">AVERAGE(AV106:BI106)</f>
        <v>3.2</v>
      </c>
      <c r="BN106" s="12">
        <f t="shared" si="52"/>
        <v>3.1333333333333333</v>
      </c>
      <c r="BO106" s="1"/>
      <c r="BP106" s="1"/>
      <c r="BQ106" s="1">
        <v>113.398</v>
      </c>
      <c r="BR106" s="1"/>
      <c r="BS106" s="1"/>
      <c r="BT106" s="1"/>
      <c r="BU106" s="1"/>
      <c r="BV106" s="1"/>
      <c r="BW106" s="1"/>
      <c r="BX106" s="1">
        <v>113.398</v>
      </c>
      <c r="BY106" s="1"/>
      <c r="BZ106" s="1"/>
      <c r="CA106" s="1">
        <f>AVERAGE(BQ106:BU106)</f>
        <v>113.398</v>
      </c>
      <c r="CB106" s="12">
        <f>CA106/1000</f>
        <v>0.113398</v>
      </c>
      <c r="CC106" s="13">
        <f t="shared" si="63"/>
        <v>0.35531373333333333</v>
      </c>
      <c r="CD106" s="6"/>
      <c r="CE106" s="6"/>
      <c r="CF106" s="6"/>
      <c r="CG106" s="6"/>
      <c r="CH106" s="6"/>
      <c r="CI106" s="6"/>
      <c r="CJ106" s="13">
        <f>((Q106-CB106)/CB106)*100</f>
        <v>1900</v>
      </c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</row>
    <row r="107" spans="1:160" x14ac:dyDescent="0.3">
      <c r="A107" s="6" t="s">
        <v>227</v>
      </c>
      <c r="B107" s="10" t="s">
        <v>227</v>
      </c>
      <c r="C107" s="10" t="s">
        <v>228</v>
      </c>
      <c r="D107" s="6" t="s">
        <v>229</v>
      </c>
      <c r="E107" s="7"/>
      <c r="F107" s="7"/>
      <c r="G107" s="7"/>
      <c r="H107" s="7"/>
      <c r="I107" s="1">
        <v>19.050864000000001</v>
      </c>
      <c r="J107" s="1">
        <v>27.215520000000001</v>
      </c>
      <c r="K107" s="1">
        <v>18</v>
      </c>
      <c r="L107" s="1">
        <v>27</v>
      </c>
      <c r="M107" s="1">
        <v>15.875719999999999</v>
      </c>
      <c r="N107" s="1">
        <v>22.679600000000001</v>
      </c>
      <c r="O107" s="1">
        <v>16</v>
      </c>
      <c r="P107" s="1">
        <v>22.5</v>
      </c>
      <c r="Q107" s="12">
        <v>21.205425999999999</v>
      </c>
      <c r="R107" s="1">
        <v>23.133192000000001</v>
      </c>
      <c r="S107" s="1">
        <v>19.277660000000001</v>
      </c>
      <c r="T107" s="1">
        <v>20.875</v>
      </c>
      <c r="U107" s="1">
        <v>22.5</v>
      </c>
      <c r="V107" s="1">
        <v>19.25</v>
      </c>
      <c r="W107" s="1">
        <f>AVERAGE(X107:Y107)</f>
        <v>22</v>
      </c>
      <c r="X107" s="1">
        <v>22</v>
      </c>
      <c r="Y107" s="1"/>
      <c r="Z107" s="1"/>
      <c r="AA107" s="1"/>
      <c r="AB107" s="1"/>
      <c r="AC107" s="1"/>
      <c r="AD107" s="1"/>
      <c r="AE107" s="1">
        <f t="shared" si="56"/>
        <v>21.040213000000001</v>
      </c>
      <c r="AF107" s="1">
        <f>AVERAGE(X107:AD107)</f>
        <v>22</v>
      </c>
      <c r="AG107" s="1">
        <f t="shared" si="57"/>
        <v>21.520106500000001</v>
      </c>
      <c r="AH107" s="1">
        <v>11</v>
      </c>
      <c r="AI107" s="1">
        <v>13</v>
      </c>
      <c r="AJ107" s="1">
        <v>12</v>
      </c>
      <c r="AK107" s="1">
        <v>14</v>
      </c>
      <c r="AL107" s="1">
        <v>12</v>
      </c>
      <c r="AM107" s="1">
        <v>13</v>
      </c>
      <c r="AN107" s="1"/>
      <c r="AO107" s="1"/>
      <c r="AP107" s="1"/>
      <c r="AQ107" s="1">
        <f t="shared" si="58"/>
        <v>12.5</v>
      </c>
      <c r="AR107" s="1"/>
      <c r="AS107" s="12">
        <f t="shared" si="59"/>
        <v>12.5</v>
      </c>
      <c r="AT107" s="1"/>
      <c r="AU107" s="1"/>
      <c r="AV107" s="1"/>
      <c r="AW107" s="1"/>
      <c r="AX107" s="1"/>
      <c r="AY107" s="1"/>
      <c r="AZ107" s="1">
        <v>7.4</v>
      </c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>
        <f t="shared" si="64"/>
        <v>7.4</v>
      </c>
      <c r="BN107" s="12">
        <f t="shared" si="52"/>
        <v>7.4</v>
      </c>
      <c r="BO107" s="1"/>
      <c r="BP107" s="1"/>
      <c r="BQ107" s="1"/>
      <c r="BR107" s="1">
        <v>284</v>
      </c>
      <c r="BS107" s="1"/>
      <c r="BT107" s="1"/>
      <c r="BU107" s="1"/>
      <c r="BV107" s="1">
        <v>284</v>
      </c>
      <c r="BW107" s="1"/>
      <c r="BX107" s="1"/>
      <c r="BY107" s="1">
        <f>AVERAGE(BR107:BU107)</f>
        <v>284</v>
      </c>
      <c r="BZ107" s="1">
        <f>BY107/1000</f>
        <v>0.28399999999999997</v>
      </c>
      <c r="CA107" s="1">
        <f>AVERAGE(BQ107:BU107)</f>
        <v>284</v>
      </c>
      <c r="CB107" s="12">
        <f>CA107/1000</f>
        <v>0.28399999999999997</v>
      </c>
      <c r="CC107" s="13">
        <f t="shared" si="63"/>
        <v>2.1015999999999999</v>
      </c>
      <c r="CD107" s="6"/>
      <c r="CE107" s="6"/>
      <c r="CF107" s="6"/>
      <c r="CG107" s="6"/>
      <c r="CH107" s="6"/>
      <c r="CI107" s="6"/>
      <c r="CJ107" s="13">
        <f>((Q107-CB107)/CB107)*100</f>
        <v>7366.6992957746488</v>
      </c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</row>
    <row r="108" spans="1:160" x14ac:dyDescent="0.3">
      <c r="A108" s="6" t="s">
        <v>230</v>
      </c>
      <c r="B108" s="10" t="s">
        <v>230</v>
      </c>
      <c r="C108" s="10" t="s">
        <v>231</v>
      </c>
      <c r="D108" s="6" t="s">
        <v>231</v>
      </c>
      <c r="E108" s="7">
        <v>6.3502879999999999</v>
      </c>
      <c r="F108" s="7">
        <v>8.1646560000000008</v>
      </c>
      <c r="G108" s="7">
        <v>6.5</v>
      </c>
      <c r="H108" s="7">
        <v>8</v>
      </c>
      <c r="I108" s="1"/>
      <c r="J108" s="1"/>
      <c r="K108" s="1"/>
      <c r="L108" s="1"/>
      <c r="M108" s="1"/>
      <c r="N108" s="1"/>
      <c r="O108" s="1"/>
      <c r="P108" s="1"/>
      <c r="Q108" s="12">
        <v>7.2574719999999999</v>
      </c>
      <c r="R108" s="1"/>
      <c r="S108" s="1"/>
      <c r="T108" s="1">
        <v>7.25</v>
      </c>
      <c r="U108" s="1"/>
      <c r="V108" s="1"/>
      <c r="W108" s="1">
        <f>AVERAGE(X108:Y108)</f>
        <v>7.26</v>
      </c>
      <c r="X108" s="1">
        <v>7.26</v>
      </c>
      <c r="Y108" s="1"/>
      <c r="Z108" s="1"/>
      <c r="AA108" s="1">
        <v>7</v>
      </c>
      <c r="AB108" s="1"/>
      <c r="AC108" s="1"/>
      <c r="AD108" s="1">
        <v>7.26</v>
      </c>
      <c r="AE108" s="1">
        <f t="shared" si="56"/>
        <v>7.253736</v>
      </c>
      <c r="AF108" s="1">
        <f>AVERAGE(X108:AD108)</f>
        <v>7.1733333333333329</v>
      </c>
      <c r="AG108" s="1">
        <f t="shared" si="57"/>
        <v>7.213534666666666</v>
      </c>
      <c r="AH108" s="1">
        <v>13</v>
      </c>
      <c r="AI108" s="1">
        <v>15</v>
      </c>
      <c r="AJ108" s="1">
        <v>13</v>
      </c>
      <c r="AK108" s="1">
        <v>15</v>
      </c>
      <c r="AL108" s="1">
        <v>14</v>
      </c>
      <c r="AM108" s="1">
        <v>14</v>
      </c>
      <c r="AN108" s="1"/>
      <c r="AO108" s="1"/>
      <c r="AP108" s="1"/>
      <c r="AQ108" s="1">
        <f t="shared" si="58"/>
        <v>14</v>
      </c>
      <c r="AR108" s="1"/>
      <c r="AS108" s="12">
        <f t="shared" si="59"/>
        <v>14</v>
      </c>
      <c r="AT108" s="1"/>
      <c r="AU108" s="1"/>
      <c r="AV108" s="1"/>
      <c r="AW108" s="1"/>
      <c r="AX108" s="1"/>
      <c r="AY108" s="1">
        <v>4</v>
      </c>
      <c r="AZ108" s="1">
        <v>4.2</v>
      </c>
      <c r="BA108" s="1"/>
      <c r="BB108" s="1"/>
      <c r="BC108" s="1"/>
      <c r="BD108" s="1"/>
      <c r="BE108" s="1">
        <v>3.5</v>
      </c>
      <c r="BF108" s="1"/>
      <c r="BG108" s="1"/>
      <c r="BH108" s="1"/>
      <c r="BI108" s="1"/>
      <c r="BJ108" s="1"/>
      <c r="BK108" s="1"/>
      <c r="BL108" s="1"/>
      <c r="BM108" s="1">
        <f t="shared" si="64"/>
        <v>3.9</v>
      </c>
      <c r="BN108" s="12">
        <f t="shared" si="52"/>
        <v>3.9</v>
      </c>
      <c r="BO108" s="1"/>
      <c r="BP108" s="1"/>
      <c r="BQ108" s="1">
        <v>184.27175</v>
      </c>
      <c r="BR108" s="1">
        <v>227</v>
      </c>
      <c r="BS108" s="1"/>
      <c r="BT108" s="1"/>
      <c r="BU108" s="1"/>
      <c r="BV108" s="1">
        <v>227</v>
      </c>
      <c r="BW108" s="1"/>
      <c r="BX108" s="1">
        <v>184.27175</v>
      </c>
      <c r="BY108" s="1">
        <f>AVERAGE(BR108:BU108)</f>
        <v>227</v>
      </c>
      <c r="BZ108" s="1">
        <f>BY108/1000</f>
        <v>0.22700000000000001</v>
      </c>
      <c r="CA108" s="1">
        <f>AVERAGE(BQ108:BU108)</f>
        <v>205.635875</v>
      </c>
      <c r="CB108" s="12">
        <f>CA108/1000</f>
        <v>0.205635875</v>
      </c>
      <c r="CC108" s="13">
        <f t="shared" si="63"/>
        <v>0.8019799125</v>
      </c>
      <c r="CD108" s="6"/>
      <c r="CE108" s="6"/>
      <c r="CF108" s="6"/>
      <c r="CG108" s="6"/>
      <c r="CH108" s="6"/>
      <c r="CI108" s="6"/>
      <c r="CJ108" s="13">
        <f>((Q108-CB108)/CB108)*100</f>
        <v>3429.2830105641833</v>
      </c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</row>
    <row r="109" spans="1:160" x14ac:dyDescent="0.3">
      <c r="A109" s="6" t="s">
        <v>232</v>
      </c>
      <c r="B109" s="10" t="s">
        <v>232</v>
      </c>
      <c r="C109" s="10" t="s">
        <v>233</v>
      </c>
      <c r="D109" s="6" t="s">
        <v>233</v>
      </c>
      <c r="E109" s="7">
        <v>11.3398</v>
      </c>
      <c r="F109" s="7">
        <v>15.875719999999999</v>
      </c>
      <c r="G109" s="7">
        <v>13.5</v>
      </c>
      <c r="H109" s="7">
        <v>18</v>
      </c>
      <c r="I109" s="1"/>
      <c r="J109" s="1"/>
      <c r="K109" s="1"/>
      <c r="L109" s="1"/>
      <c r="M109" s="1"/>
      <c r="N109" s="1"/>
      <c r="O109" s="1"/>
      <c r="P109" s="1"/>
      <c r="Q109" s="12">
        <v>13.607760000000001</v>
      </c>
      <c r="R109" s="1"/>
      <c r="S109" s="1"/>
      <c r="T109" s="1">
        <v>15.75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>
        <f t="shared" si="56"/>
        <v>14.678879999999999</v>
      </c>
      <c r="AF109" s="1"/>
      <c r="AG109" s="1">
        <f t="shared" si="57"/>
        <v>14.678879999999999</v>
      </c>
      <c r="AH109" s="1">
        <v>10</v>
      </c>
      <c r="AI109" s="1">
        <v>15</v>
      </c>
      <c r="AJ109" s="1">
        <v>11</v>
      </c>
      <c r="AK109" s="1">
        <v>14</v>
      </c>
      <c r="AL109" s="1">
        <v>12.5</v>
      </c>
      <c r="AM109" s="1">
        <v>12.5</v>
      </c>
      <c r="AN109" s="1"/>
      <c r="AO109" s="1"/>
      <c r="AP109" s="1"/>
      <c r="AQ109" s="1">
        <f t="shared" si="58"/>
        <v>12.5</v>
      </c>
      <c r="AR109" s="1"/>
      <c r="AS109" s="12">
        <f t="shared" si="59"/>
        <v>12.5</v>
      </c>
      <c r="AT109" s="1"/>
      <c r="AU109" s="1"/>
      <c r="AV109" s="1"/>
      <c r="AW109" s="1"/>
      <c r="AX109" s="1"/>
      <c r="AY109" s="1"/>
      <c r="AZ109" s="1">
        <v>4</v>
      </c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>
        <f t="shared" si="64"/>
        <v>4</v>
      </c>
      <c r="BN109" s="12">
        <f t="shared" si="52"/>
        <v>4</v>
      </c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2"/>
      <c r="CC109" s="13">
        <f t="shared" si="63"/>
        <v>0</v>
      </c>
      <c r="CD109" s="6"/>
      <c r="CE109" s="6"/>
      <c r="CF109" s="6"/>
      <c r="CG109" s="6"/>
      <c r="CH109" s="6"/>
      <c r="CI109" s="6"/>
      <c r="CJ109" s="13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</row>
    <row r="110" spans="1:160" x14ac:dyDescent="0.3">
      <c r="A110" s="6" t="s">
        <v>234</v>
      </c>
      <c r="B110" s="10" t="s">
        <v>234</v>
      </c>
      <c r="C110" s="10" t="s">
        <v>235</v>
      </c>
      <c r="D110" s="6" t="s">
        <v>235</v>
      </c>
      <c r="E110" s="7"/>
      <c r="F110" s="7"/>
      <c r="G110" s="7"/>
      <c r="H110" s="7"/>
      <c r="I110" s="1">
        <v>12.246983999999999</v>
      </c>
      <c r="J110" s="1">
        <v>13.154168</v>
      </c>
      <c r="K110" s="1"/>
      <c r="L110" s="1"/>
      <c r="M110" s="1">
        <v>9.9790240000000008</v>
      </c>
      <c r="N110" s="1">
        <v>10.886208</v>
      </c>
      <c r="O110" s="1"/>
      <c r="P110" s="1"/>
      <c r="Q110" s="12">
        <v>11.566596000000001</v>
      </c>
      <c r="R110" s="1">
        <v>12.700576</v>
      </c>
      <c r="S110" s="1">
        <v>10.432615999999999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>
        <f t="shared" si="56"/>
        <v>11.566596000000001</v>
      </c>
      <c r="AF110" s="1"/>
      <c r="AG110" s="1">
        <f t="shared" si="57"/>
        <v>11.566596000000001</v>
      </c>
      <c r="AH110" s="1">
        <v>12</v>
      </c>
      <c r="AI110" s="1">
        <v>13</v>
      </c>
      <c r="AJ110" s="1"/>
      <c r="AK110" s="1"/>
      <c r="AL110" s="1">
        <v>12.5</v>
      </c>
      <c r="AM110" s="1"/>
      <c r="AN110" s="1"/>
      <c r="AO110" s="1"/>
      <c r="AP110" s="1"/>
      <c r="AQ110" s="1">
        <f t="shared" si="58"/>
        <v>12.5</v>
      </c>
      <c r="AR110" s="1"/>
      <c r="AS110" s="12">
        <f t="shared" si="59"/>
        <v>12.5</v>
      </c>
      <c r="AT110" s="1"/>
      <c r="AU110" s="1"/>
      <c r="AV110" s="1"/>
      <c r="AW110" s="1"/>
      <c r="AX110" s="1"/>
      <c r="AY110" s="1"/>
      <c r="AZ110" s="1">
        <v>5.6</v>
      </c>
      <c r="BA110" s="1"/>
      <c r="BB110" s="1"/>
      <c r="BC110" s="1"/>
      <c r="BD110" s="1"/>
      <c r="BE110" s="1">
        <v>7</v>
      </c>
      <c r="BF110" s="1"/>
      <c r="BG110" s="1"/>
      <c r="BH110" s="1"/>
      <c r="BI110" s="1"/>
      <c r="BJ110" s="1"/>
      <c r="BK110" s="1"/>
      <c r="BL110" s="1"/>
      <c r="BM110" s="1">
        <f t="shared" si="64"/>
        <v>6.3</v>
      </c>
      <c r="BN110" s="12">
        <f t="shared" ref="BN110:BN141" si="65">AVERAGE(AT110:BK110)</f>
        <v>6.3</v>
      </c>
      <c r="BO110" s="1"/>
      <c r="BP110" s="1"/>
      <c r="BQ110" s="1"/>
      <c r="BR110" s="1"/>
      <c r="BS110" s="1"/>
      <c r="BT110" s="1">
        <v>232</v>
      </c>
      <c r="BU110" s="1"/>
      <c r="BV110" s="1"/>
      <c r="BW110" s="1"/>
      <c r="BX110" s="1"/>
      <c r="BY110" s="1">
        <f>AVERAGE(BR110:BU110)</f>
        <v>232</v>
      </c>
      <c r="BZ110" s="1">
        <f>BY110/1000</f>
        <v>0.23200000000000001</v>
      </c>
      <c r="CA110" s="1">
        <f>AVERAGE(BQ110:BU110)</f>
        <v>232</v>
      </c>
      <c r="CB110" s="12">
        <f>CA110/1000</f>
        <v>0.23200000000000001</v>
      </c>
      <c r="CC110" s="13">
        <f t="shared" si="63"/>
        <v>1.4616</v>
      </c>
      <c r="CD110" s="6"/>
      <c r="CE110" s="6"/>
      <c r="CF110" s="6"/>
      <c r="CG110" s="6"/>
      <c r="CH110" s="6"/>
      <c r="CI110" s="6"/>
      <c r="CJ110" s="13">
        <f>((Q110-CB110)/CB110)*100</f>
        <v>4885.6017241379313</v>
      </c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</row>
    <row r="111" spans="1:160" x14ac:dyDescent="0.3">
      <c r="A111" s="6" t="s">
        <v>236</v>
      </c>
      <c r="B111" s="10" t="s">
        <v>236</v>
      </c>
      <c r="C111" s="10" t="s">
        <v>237</v>
      </c>
      <c r="D111" s="6" t="s">
        <v>237</v>
      </c>
      <c r="E111" s="7"/>
      <c r="F111" s="7"/>
      <c r="G111" s="7"/>
      <c r="H111" s="7"/>
      <c r="I111" s="1"/>
      <c r="J111" s="1"/>
      <c r="K111" s="1">
        <v>38.5</v>
      </c>
      <c r="L111" s="1"/>
      <c r="M111" s="1"/>
      <c r="N111" s="1"/>
      <c r="O111" s="1">
        <v>32</v>
      </c>
      <c r="P111" s="1"/>
      <c r="Q111" s="12"/>
      <c r="R111" s="1"/>
      <c r="S111" s="1"/>
      <c r="T111" s="1">
        <v>35.25</v>
      </c>
      <c r="U111" s="1">
        <v>38.5</v>
      </c>
      <c r="V111" s="1">
        <v>32</v>
      </c>
      <c r="W111" s="1">
        <f>AVERAGE(X111:Y111)</f>
        <v>36.299999999999997</v>
      </c>
      <c r="X111" s="1">
        <v>36.299999999999997</v>
      </c>
      <c r="Y111" s="1"/>
      <c r="Z111" s="1"/>
      <c r="AA111" s="1">
        <v>34</v>
      </c>
      <c r="AB111" s="1">
        <v>32.89</v>
      </c>
      <c r="AC111" s="1"/>
      <c r="AD111" s="1"/>
      <c r="AE111" s="1">
        <f t="shared" si="56"/>
        <v>35.25</v>
      </c>
      <c r="AF111" s="1">
        <f>AVERAGE(X111:AD111)</f>
        <v>34.396666666666668</v>
      </c>
      <c r="AG111" s="1">
        <f t="shared" si="57"/>
        <v>34.823333333333338</v>
      </c>
      <c r="AH111" s="1"/>
      <c r="AI111" s="1"/>
      <c r="AJ111" s="1">
        <v>10</v>
      </c>
      <c r="AK111" s="1">
        <v>12</v>
      </c>
      <c r="AL111" s="1"/>
      <c r="AM111" s="1">
        <v>11</v>
      </c>
      <c r="AN111" s="1"/>
      <c r="AO111" s="1"/>
      <c r="AP111" s="1">
        <v>9.1</v>
      </c>
      <c r="AQ111" s="1">
        <f t="shared" si="58"/>
        <v>11</v>
      </c>
      <c r="AR111" s="1">
        <f>AVERAGE(AN111:AP111)</f>
        <v>9.1</v>
      </c>
      <c r="AS111" s="12">
        <f t="shared" si="59"/>
        <v>10.050000000000001</v>
      </c>
      <c r="AT111" s="1"/>
      <c r="AU111" s="1"/>
      <c r="AV111" s="1"/>
      <c r="AW111" s="1"/>
      <c r="AX111" s="1"/>
      <c r="AY111" s="1">
        <v>10</v>
      </c>
      <c r="AZ111" s="1">
        <v>8.9</v>
      </c>
      <c r="BA111" s="1"/>
      <c r="BB111" s="1"/>
      <c r="BC111" s="1"/>
      <c r="BD111" s="1"/>
      <c r="BE111" s="1">
        <v>12</v>
      </c>
      <c r="BF111" s="1"/>
      <c r="BG111" s="1">
        <v>7.9</v>
      </c>
      <c r="BH111" s="1"/>
      <c r="BI111" s="1"/>
      <c r="BJ111" s="1"/>
      <c r="BK111" s="1"/>
      <c r="BL111" s="1"/>
      <c r="BM111" s="1">
        <f t="shared" si="64"/>
        <v>9.6999999999999993</v>
      </c>
      <c r="BN111" s="12">
        <f t="shared" si="65"/>
        <v>9.6999999999999993</v>
      </c>
      <c r="BO111" s="1"/>
      <c r="BP111" s="1"/>
      <c r="BQ111" s="1"/>
      <c r="BR111" s="1">
        <v>440</v>
      </c>
      <c r="BS111" s="1"/>
      <c r="BT111" s="1">
        <v>390</v>
      </c>
      <c r="BU111" s="1"/>
      <c r="BV111" s="1">
        <v>440</v>
      </c>
      <c r="BW111" s="1"/>
      <c r="BX111" s="1"/>
      <c r="BY111" s="1">
        <f>AVERAGE(BR111:BU111)</f>
        <v>415</v>
      </c>
      <c r="BZ111" s="1">
        <f>BY111/1000</f>
        <v>0.41499999999999998</v>
      </c>
      <c r="CA111" s="1">
        <f>AVERAGE(BQ111:BU111)</f>
        <v>415</v>
      </c>
      <c r="CB111" s="12">
        <f>CA111/1000</f>
        <v>0.41499999999999998</v>
      </c>
      <c r="CC111" s="13">
        <f t="shared" si="63"/>
        <v>4.0254999999999992</v>
      </c>
      <c r="CD111" s="6"/>
      <c r="CE111" s="6"/>
      <c r="CF111" s="6"/>
      <c r="CG111" s="6"/>
      <c r="CH111" s="6"/>
      <c r="CI111" s="6"/>
      <c r="CJ111" s="13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</row>
    <row r="112" spans="1:160" x14ac:dyDescent="0.3">
      <c r="A112" s="6" t="s">
        <v>238</v>
      </c>
      <c r="B112" s="10" t="s">
        <v>238</v>
      </c>
      <c r="C112" s="10" t="s">
        <v>239</v>
      </c>
      <c r="D112" s="6" t="s">
        <v>239</v>
      </c>
      <c r="E112" s="7"/>
      <c r="F112" s="7"/>
      <c r="G112" s="7"/>
      <c r="H112" s="7"/>
      <c r="I112" s="1">
        <v>43.091239999999999</v>
      </c>
      <c r="J112" s="1">
        <v>61.234920000000002</v>
      </c>
      <c r="K112" s="1">
        <v>43</v>
      </c>
      <c r="L112" s="1">
        <v>61.5</v>
      </c>
      <c r="M112" s="1">
        <v>36.28736</v>
      </c>
      <c r="N112" s="1">
        <v>45.359200000000001</v>
      </c>
      <c r="O112" s="1">
        <v>36.5</v>
      </c>
      <c r="P112" s="1">
        <v>45.5</v>
      </c>
      <c r="Q112" s="12">
        <v>46.493180000000002</v>
      </c>
      <c r="R112" s="1">
        <v>52.163080000000001</v>
      </c>
      <c r="S112" s="1">
        <v>40.823279999999997</v>
      </c>
      <c r="T112" s="1">
        <v>46.625</v>
      </c>
      <c r="U112" s="1">
        <v>52.25</v>
      </c>
      <c r="V112" s="1">
        <v>41</v>
      </c>
      <c r="W112" s="1"/>
      <c r="X112" s="1"/>
      <c r="Y112" s="1"/>
      <c r="Z112" s="1"/>
      <c r="AA112" s="1">
        <v>45</v>
      </c>
      <c r="AB112" s="1">
        <v>40.03</v>
      </c>
      <c r="AC112" s="1"/>
      <c r="AD112" s="1">
        <v>38.56</v>
      </c>
      <c r="AE112" s="1">
        <f t="shared" si="56"/>
        <v>46.559090000000005</v>
      </c>
      <c r="AF112" s="1">
        <f>AVERAGE(X112:AD112)</f>
        <v>41.196666666666665</v>
      </c>
      <c r="AG112" s="1">
        <f t="shared" si="57"/>
        <v>43.877878333333335</v>
      </c>
      <c r="AH112" s="1">
        <v>9</v>
      </c>
      <c r="AI112" s="1">
        <v>10</v>
      </c>
      <c r="AJ112" s="1">
        <v>12</v>
      </c>
      <c r="AK112" s="1"/>
      <c r="AL112" s="1">
        <v>9.5</v>
      </c>
      <c r="AM112" s="1">
        <v>12</v>
      </c>
      <c r="AN112" s="1"/>
      <c r="AO112" s="1">
        <v>8</v>
      </c>
      <c r="AP112" s="1">
        <v>9.8000000000000007</v>
      </c>
      <c r="AQ112" s="1">
        <f t="shared" si="58"/>
        <v>10.333333333333334</v>
      </c>
      <c r="AR112" s="1">
        <f>AVERAGE(AN112:AP112)</f>
        <v>8.9</v>
      </c>
      <c r="AS112" s="12">
        <f t="shared" si="59"/>
        <v>9.3777777777777782</v>
      </c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>
        <v>6.5</v>
      </c>
      <c r="BF112" s="1"/>
      <c r="BG112" s="1"/>
      <c r="BH112" s="1"/>
      <c r="BI112" s="1"/>
      <c r="BJ112" s="1"/>
      <c r="BK112" s="1"/>
      <c r="BL112" s="1"/>
      <c r="BM112" s="1">
        <f t="shared" si="64"/>
        <v>6.5</v>
      </c>
      <c r="BN112" s="12">
        <f t="shared" si="65"/>
        <v>6.5</v>
      </c>
      <c r="BO112" s="1"/>
      <c r="BP112" s="1"/>
      <c r="BQ112" s="1"/>
      <c r="BR112" s="1"/>
      <c r="BS112" s="1"/>
      <c r="BT112" s="1">
        <v>360</v>
      </c>
      <c r="BU112" s="1"/>
      <c r="BV112" s="1"/>
      <c r="BW112" s="1"/>
      <c r="BX112" s="1"/>
      <c r="BY112" s="1">
        <f>AVERAGE(BR112:BU112)</f>
        <v>360</v>
      </c>
      <c r="BZ112" s="1">
        <f>BY112/1000</f>
        <v>0.36</v>
      </c>
      <c r="CA112" s="1">
        <f>AVERAGE(BQ112:BU112)</f>
        <v>360</v>
      </c>
      <c r="CB112" s="12">
        <f>CA112/1000</f>
        <v>0.36</v>
      </c>
      <c r="CC112" s="13">
        <f t="shared" si="63"/>
        <v>2.34</v>
      </c>
      <c r="CD112" s="6"/>
      <c r="CE112" s="6"/>
      <c r="CF112" s="6"/>
      <c r="CG112" s="6"/>
      <c r="CH112" s="6"/>
      <c r="CI112" s="6"/>
      <c r="CJ112" s="13">
        <f>((Q112-CB112)/CB112)*100</f>
        <v>12814.772222222222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</row>
    <row r="113" spans="1:160" x14ac:dyDescent="0.3">
      <c r="A113" s="6" t="s">
        <v>240</v>
      </c>
      <c r="B113" s="10" t="s">
        <v>240</v>
      </c>
      <c r="C113" s="10" t="s">
        <v>241</v>
      </c>
      <c r="D113" s="6" t="s">
        <v>241</v>
      </c>
      <c r="E113" s="7">
        <v>18.14368</v>
      </c>
      <c r="F113" s="7">
        <v>29.48348</v>
      </c>
      <c r="G113" s="7"/>
      <c r="H113" s="7"/>
      <c r="I113" s="1"/>
      <c r="J113" s="1"/>
      <c r="K113" s="1">
        <v>18</v>
      </c>
      <c r="L113" s="1">
        <v>25</v>
      </c>
      <c r="M113" s="1"/>
      <c r="N113" s="1"/>
      <c r="O113" s="1">
        <v>14</v>
      </c>
      <c r="P113" s="1">
        <v>18</v>
      </c>
      <c r="Q113" s="12">
        <v>23.813580000000002</v>
      </c>
      <c r="R113" s="1"/>
      <c r="S113" s="1"/>
      <c r="T113" s="1">
        <v>18.75</v>
      </c>
      <c r="U113" s="1">
        <v>21.5</v>
      </c>
      <c r="V113" s="1">
        <v>16</v>
      </c>
      <c r="W113" s="1"/>
      <c r="X113" s="1"/>
      <c r="Y113" s="1"/>
      <c r="Z113" s="1"/>
      <c r="AA113" s="1"/>
      <c r="AB113" s="1"/>
      <c r="AC113" s="1"/>
      <c r="AD113" s="1"/>
      <c r="AE113" s="1">
        <f t="shared" si="56"/>
        <v>20.437860000000001</v>
      </c>
      <c r="AF113" s="1"/>
      <c r="AG113" s="1">
        <f t="shared" si="57"/>
        <v>20.437860000000001</v>
      </c>
      <c r="AH113" s="1">
        <v>10</v>
      </c>
      <c r="AI113" s="1">
        <v>17</v>
      </c>
      <c r="AJ113" s="1">
        <v>12</v>
      </c>
      <c r="AK113" s="1"/>
      <c r="AL113" s="1">
        <v>13.5</v>
      </c>
      <c r="AM113" s="1">
        <v>12</v>
      </c>
      <c r="AN113" s="1"/>
      <c r="AO113" s="1"/>
      <c r="AP113" s="1"/>
      <c r="AQ113" s="1">
        <f t="shared" si="58"/>
        <v>13</v>
      </c>
      <c r="AR113" s="1"/>
      <c r="AS113" s="12">
        <f t="shared" si="59"/>
        <v>13</v>
      </c>
      <c r="AT113" s="1"/>
      <c r="AU113" s="1"/>
      <c r="AV113" s="1"/>
      <c r="AW113" s="1"/>
      <c r="AX113" s="1"/>
      <c r="AY113" s="1"/>
      <c r="AZ113" s="1">
        <v>6.3</v>
      </c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>
        <f t="shared" si="64"/>
        <v>6.3</v>
      </c>
      <c r="BN113" s="12">
        <f t="shared" si="65"/>
        <v>6.3</v>
      </c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2"/>
      <c r="CC113" s="13">
        <f t="shared" si="63"/>
        <v>0</v>
      </c>
      <c r="CD113" s="6"/>
      <c r="CE113" s="6"/>
      <c r="CF113" s="6"/>
      <c r="CG113" s="6"/>
      <c r="CH113" s="6"/>
      <c r="CI113" s="6"/>
      <c r="CJ113" s="13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</row>
    <row r="114" spans="1:160" x14ac:dyDescent="0.3">
      <c r="A114" s="6" t="s">
        <v>242</v>
      </c>
      <c r="B114" s="10" t="s">
        <v>242</v>
      </c>
      <c r="C114" s="10" t="s">
        <v>243</v>
      </c>
      <c r="D114" s="6" t="s">
        <v>243</v>
      </c>
      <c r="E114" s="7"/>
      <c r="F114" s="7"/>
      <c r="G114" s="7">
        <v>23</v>
      </c>
      <c r="H114" s="7">
        <v>29.5</v>
      </c>
      <c r="I114" s="1">
        <v>20.411639999999998</v>
      </c>
      <c r="J114" s="1">
        <v>29.48348</v>
      </c>
      <c r="K114" s="1"/>
      <c r="L114" s="1"/>
      <c r="M114" s="1">
        <v>15.875719999999999</v>
      </c>
      <c r="N114" s="1">
        <v>22.679600000000001</v>
      </c>
      <c r="O114" s="1"/>
      <c r="P114" s="1"/>
      <c r="Q114" s="12">
        <v>22.11261</v>
      </c>
      <c r="R114" s="1">
        <v>24.947559999999999</v>
      </c>
      <c r="S114" s="1">
        <v>19.277660000000001</v>
      </c>
      <c r="T114" s="1">
        <v>26.25</v>
      </c>
      <c r="U114" s="1"/>
      <c r="V114" s="1"/>
      <c r="W114" s="1"/>
      <c r="X114" s="1"/>
      <c r="Y114" s="1"/>
      <c r="Z114" s="1"/>
      <c r="AA114" s="1">
        <v>25</v>
      </c>
      <c r="AB114" s="1">
        <v>19.850000000000001</v>
      </c>
      <c r="AC114" s="1"/>
      <c r="AD114" s="1">
        <v>18.14</v>
      </c>
      <c r="AE114" s="1">
        <f t="shared" si="56"/>
        <v>23.491740000000004</v>
      </c>
      <c r="AF114" s="1">
        <f>AVERAGE(X114:AD114)</f>
        <v>20.996666666666666</v>
      </c>
      <c r="AG114" s="1">
        <f t="shared" si="57"/>
        <v>22.244203333333335</v>
      </c>
      <c r="AH114" s="1">
        <v>12</v>
      </c>
      <c r="AI114" s="1">
        <v>14</v>
      </c>
      <c r="AJ114" s="1">
        <v>12</v>
      </c>
      <c r="AK114" s="1"/>
      <c r="AL114" s="1">
        <v>13</v>
      </c>
      <c r="AM114" s="1">
        <v>12</v>
      </c>
      <c r="AN114" s="1"/>
      <c r="AO114" s="1"/>
      <c r="AP114" s="1">
        <v>11</v>
      </c>
      <c r="AQ114" s="1">
        <f t="shared" si="58"/>
        <v>12.666666666666666</v>
      </c>
      <c r="AR114" s="1">
        <f>AVERAGE(AN114:AP114)</f>
        <v>11</v>
      </c>
      <c r="AS114" s="12">
        <f t="shared" si="59"/>
        <v>11.833333333333332</v>
      </c>
      <c r="AT114" s="1"/>
      <c r="AU114" s="1"/>
      <c r="AV114" s="1"/>
      <c r="AW114" s="1"/>
      <c r="AX114" s="1"/>
      <c r="AY114" s="1"/>
      <c r="AZ114" s="1">
        <v>6.2</v>
      </c>
      <c r="BA114" s="1"/>
      <c r="BB114" s="1"/>
      <c r="BC114" s="1"/>
      <c r="BD114" s="1"/>
      <c r="BE114" s="1">
        <v>7</v>
      </c>
      <c r="BF114" s="1"/>
      <c r="BG114" s="1"/>
      <c r="BH114" s="1"/>
      <c r="BI114" s="1"/>
      <c r="BJ114" s="1"/>
      <c r="BK114" s="1"/>
      <c r="BL114" s="1"/>
      <c r="BM114" s="1">
        <f t="shared" si="64"/>
        <v>6.6</v>
      </c>
      <c r="BN114" s="12">
        <f t="shared" si="65"/>
        <v>6.6</v>
      </c>
      <c r="BO114" s="1"/>
      <c r="BP114" s="1"/>
      <c r="BQ114" s="1"/>
      <c r="BR114" s="1"/>
      <c r="BS114" s="1"/>
      <c r="BT114" s="1">
        <v>229</v>
      </c>
      <c r="BU114" s="1"/>
      <c r="BV114" s="1"/>
      <c r="BW114" s="1"/>
      <c r="BX114" s="1"/>
      <c r="BY114" s="1">
        <f>AVERAGE(BR114:BU114)</f>
        <v>229</v>
      </c>
      <c r="BZ114" s="1">
        <f>BY114/1000</f>
        <v>0.22900000000000001</v>
      </c>
      <c r="CA114" s="1">
        <f>AVERAGE(BQ114:BU114)</f>
        <v>229</v>
      </c>
      <c r="CB114" s="12">
        <f>CA114/1000</f>
        <v>0.22900000000000001</v>
      </c>
      <c r="CC114" s="13">
        <f t="shared" si="63"/>
        <v>1.5114000000000001</v>
      </c>
      <c r="CD114" s="6"/>
      <c r="CE114" s="6"/>
      <c r="CF114" s="6"/>
      <c r="CG114" s="6"/>
      <c r="CH114" s="6"/>
      <c r="CI114" s="6"/>
      <c r="CJ114" s="13">
        <f>((Q114-CB114)/CB114)*100</f>
        <v>9556.1615720524023</v>
      </c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</row>
    <row r="115" spans="1:160" x14ac:dyDescent="0.3">
      <c r="A115" s="6" t="s">
        <v>244</v>
      </c>
      <c r="B115" s="10" t="s">
        <v>244</v>
      </c>
      <c r="C115" s="10" t="s">
        <v>245</v>
      </c>
      <c r="D115" s="6" t="s">
        <v>245</v>
      </c>
      <c r="E115" s="7"/>
      <c r="F115" s="7"/>
      <c r="G115" s="7"/>
      <c r="H115" s="7"/>
      <c r="I115" s="1">
        <v>8.6182479999999995</v>
      </c>
      <c r="J115" s="1">
        <v>9.9790240000000008</v>
      </c>
      <c r="K115" s="1">
        <v>8.5</v>
      </c>
      <c r="L115" s="1">
        <v>10</v>
      </c>
      <c r="M115" s="1">
        <v>8.1646560000000008</v>
      </c>
      <c r="N115" s="1">
        <v>9.5254320000000003</v>
      </c>
      <c r="O115" s="1">
        <v>8</v>
      </c>
      <c r="P115" s="1">
        <v>9.5</v>
      </c>
      <c r="Q115" s="12">
        <v>9.0718399999999999</v>
      </c>
      <c r="R115" s="1">
        <v>9.2986360000000001</v>
      </c>
      <c r="S115" s="1">
        <v>8.8450439999999997</v>
      </c>
      <c r="T115" s="1">
        <v>9</v>
      </c>
      <c r="U115" s="1">
        <v>9.25</v>
      </c>
      <c r="V115" s="1">
        <v>8.75</v>
      </c>
      <c r="W115" s="1"/>
      <c r="X115" s="1"/>
      <c r="Y115" s="1"/>
      <c r="Z115" s="1"/>
      <c r="AA115" s="1">
        <v>9</v>
      </c>
      <c r="AB115" s="1"/>
      <c r="AC115" s="1"/>
      <c r="AD115" s="1">
        <v>9.5299999999999994</v>
      </c>
      <c r="AE115" s="1">
        <f t="shared" si="56"/>
        <v>9.0359200000000008</v>
      </c>
      <c r="AF115" s="1">
        <f>AVERAGE(X115:AD115)</f>
        <v>9.2650000000000006</v>
      </c>
      <c r="AG115" s="1">
        <f t="shared" si="57"/>
        <v>9.1504600000000007</v>
      </c>
      <c r="AH115" s="1">
        <v>12</v>
      </c>
      <c r="AI115" s="1"/>
      <c r="AJ115" s="1">
        <v>12</v>
      </c>
      <c r="AK115" s="1">
        <v>15</v>
      </c>
      <c r="AL115" s="1">
        <v>12</v>
      </c>
      <c r="AM115" s="1">
        <v>13.5</v>
      </c>
      <c r="AN115" s="1"/>
      <c r="AO115" s="1">
        <v>12</v>
      </c>
      <c r="AP115" s="1">
        <v>12</v>
      </c>
      <c r="AQ115" s="1">
        <f t="shared" si="58"/>
        <v>13</v>
      </c>
      <c r="AR115" s="1">
        <f>AVERAGE(AN115:AP115)</f>
        <v>12</v>
      </c>
      <c r="AS115" s="12">
        <f t="shared" si="59"/>
        <v>12.333333333333334</v>
      </c>
      <c r="AT115" s="1"/>
      <c r="AU115" s="1"/>
      <c r="AV115" s="1"/>
      <c r="AW115" s="1"/>
      <c r="AX115" s="1"/>
      <c r="AY115" s="1"/>
      <c r="AZ115" s="1">
        <v>5.7</v>
      </c>
      <c r="BA115" s="1"/>
      <c r="BB115" s="1"/>
      <c r="BC115" s="1"/>
      <c r="BD115" s="1"/>
      <c r="BE115" s="1">
        <v>3</v>
      </c>
      <c r="BF115" s="1"/>
      <c r="BG115" s="1"/>
      <c r="BH115" s="1"/>
      <c r="BI115" s="1"/>
      <c r="BJ115" s="1"/>
      <c r="BK115" s="1"/>
      <c r="BL115" s="1"/>
      <c r="BM115" s="1">
        <f t="shared" si="64"/>
        <v>4.3499999999999996</v>
      </c>
      <c r="BN115" s="12">
        <f t="shared" si="65"/>
        <v>4.3499999999999996</v>
      </c>
      <c r="BO115" s="1"/>
      <c r="BP115" s="1"/>
      <c r="BQ115" s="1">
        <v>198.44649999999999</v>
      </c>
      <c r="BR115" s="1"/>
      <c r="BS115" s="1"/>
      <c r="BT115" s="1">
        <v>210</v>
      </c>
      <c r="BU115" s="1"/>
      <c r="BV115" s="1"/>
      <c r="BW115" s="1"/>
      <c r="BX115" s="1">
        <v>198.44649999999999</v>
      </c>
      <c r="BY115" s="1">
        <f>AVERAGE(BR115:BU115)</f>
        <v>210</v>
      </c>
      <c r="BZ115" s="1">
        <f>BY115/1000</f>
        <v>0.21</v>
      </c>
      <c r="CA115" s="1">
        <f>AVERAGE(BQ115:BU115)</f>
        <v>204.22325000000001</v>
      </c>
      <c r="CB115" s="12">
        <f>CA115/1000</f>
        <v>0.20422325</v>
      </c>
      <c r="CC115" s="13">
        <f t="shared" si="63"/>
        <v>0.88837113749999985</v>
      </c>
      <c r="CD115" s="6"/>
      <c r="CE115" s="6"/>
      <c r="CF115" s="6"/>
      <c r="CG115" s="6"/>
      <c r="CH115" s="6"/>
      <c r="CI115" s="6"/>
      <c r="CJ115" s="13">
        <f>((Q115-CB115)/CB115)*100</f>
        <v>4342.1191025017961</v>
      </c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</row>
    <row r="116" spans="1:160" x14ac:dyDescent="0.3">
      <c r="A116" s="6" t="s">
        <v>246</v>
      </c>
      <c r="B116" s="10" t="s">
        <v>246</v>
      </c>
      <c r="C116" s="10" t="s">
        <v>247</v>
      </c>
      <c r="D116" s="6" t="s">
        <v>248</v>
      </c>
      <c r="E116" s="7"/>
      <c r="F116" s="7"/>
      <c r="G116" s="7"/>
      <c r="H116" s="7"/>
      <c r="I116" s="1">
        <v>15.875719999999999</v>
      </c>
      <c r="J116" s="1">
        <v>18.14368</v>
      </c>
      <c r="K116" s="1">
        <v>16</v>
      </c>
      <c r="L116" s="1">
        <v>18</v>
      </c>
      <c r="M116" s="1">
        <v>13.607760000000001</v>
      </c>
      <c r="N116" s="1">
        <v>15.875719999999999</v>
      </c>
      <c r="O116" s="1">
        <v>13.5</v>
      </c>
      <c r="P116" s="1">
        <v>16</v>
      </c>
      <c r="Q116" s="12">
        <v>15.875719999999999</v>
      </c>
      <c r="R116" s="1">
        <v>17.009699999999999</v>
      </c>
      <c r="S116" s="1">
        <v>14.74174</v>
      </c>
      <c r="T116" s="1">
        <v>15.875</v>
      </c>
      <c r="U116" s="1">
        <v>17</v>
      </c>
      <c r="V116" s="1">
        <v>14.75</v>
      </c>
      <c r="W116" s="1">
        <f>AVERAGE(X116:Y116)</f>
        <v>18</v>
      </c>
      <c r="X116" s="1">
        <v>18</v>
      </c>
      <c r="Y116" s="1"/>
      <c r="Z116" s="1"/>
      <c r="AA116" s="1"/>
      <c r="AB116" s="1"/>
      <c r="AC116" s="1"/>
      <c r="AD116" s="1"/>
      <c r="AE116" s="1">
        <f t="shared" si="56"/>
        <v>15.875359999999999</v>
      </c>
      <c r="AF116" s="1">
        <f>AVERAGE(X116:AD116)</f>
        <v>18</v>
      </c>
      <c r="AG116" s="1">
        <f t="shared" si="57"/>
        <v>16.93768</v>
      </c>
      <c r="AH116" s="1">
        <v>12</v>
      </c>
      <c r="AI116" s="1">
        <v>14</v>
      </c>
      <c r="AJ116" s="1">
        <v>13</v>
      </c>
      <c r="AK116" s="1">
        <v>15</v>
      </c>
      <c r="AL116" s="1">
        <v>13</v>
      </c>
      <c r="AM116" s="1">
        <v>14</v>
      </c>
      <c r="AN116" s="1"/>
      <c r="AO116" s="1"/>
      <c r="AP116" s="1"/>
      <c r="AQ116" s="1">
        <f t="shared" si="58"/>
        <v>13.5</v>
      </c>
      <c r="AR116" s="1"/>
      <c r="AS116" s="12">
        <f t="shared" si="59"/>
        <v>13.5</v>
      </c>
      <c r="AT116" s="1">
        <v>6</v>
      </c>
      <c r="AU116" s="1"/>
      <c r="AV116" s="1"/>
      <c r="AW116" s="1"/>
      <c r="AX116" s="1"/>
      <c r="AY116" s="1"/>
      <c r="AZ116" s="1">
        <v>5.8</v>
      </c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>
        <f>AVERAGE(AT116:AU116)</f>
        <v>6</v>
      </c>
      <c r="BM116" s="1">
        <f t="shared" si="64"/>
        <v>5.8</v>
      </c>
      <c r="BN116" s="12">
        <f t="shared" si="65"/>
        <v>5.9</v>
      </c>
      <c r="BO116" s="1"/>
      <c r="BP116" s="1"/>
      <c r="BQ116" s="1">
        <v>184.27175</v>
      </c>
      <c r="BR116" s="1">
        <v>265</v>
      </c>
      <c r="BS116" s="1"/>
      <c r="BT116" s="1"/>
      <c r="BU116" s="1"/>
      <c r="BV116" s="1">
        <v>265</v>
      </c>
      <c r="BW116" s="1"/>
      <c r="BX116" s="1">
        <v>184.27175</v>
      </c>
      <c r="BY116" s="1">
        <f>AVERAGE(BR116:BU116)</f>
        <v>265</v>
      </c>
      <c r="BZ116" s="1">
        <f>BY116/1000</f>
        <v>0.26500000000000001</v>
      </c>
      <c r="CA116" s="1">
        <f>AVERAGE(BQ116:BU116)</f>
        <v>224.635875</v>
      </c>
      <c r="CB116" s="12">
        <f>CA116/1000</f>
        <v>0.22463587499999998</v>
      </c>
      <c r="CC116" s="13">
        <f t="shared" si="63"/>
        <v>1.3253516624999999</v>
      </c>
      <c r="CD116" s="6"/>
      <c r="CE116" s="6"/>
      <c r="CF116" s="6"/>
      <c r="CG116" s="6"/>
      <c r="CH116" s="6"/>
      <c r="CI116" s="6"/>
      <c r="CJ116" s="13">
        <f>((Q116-CB116)/CB116)*100</f>
        <v>6967.3128234748783</v>
      </c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</row>
    <row r="117" spans="1:160" x14ac:dyDescent="0.3">
      <c r="A117" s="6" t="s">
        <v>249</v>
      </c>
      <c r="B117" s="10" t="s">
        <v>249</v>
      </c>
      <c r="C117" s="10" t="s">
        <v>250</v>
      </c>
      <c r="D117" s="6" t="s">
        <v>250</v>
      </c>
      <c r="E117" s="7">
        <v>20.411639999999998</v>
      </c>
      <c r="F117" s="7">
        <v>27.215520000000001</v>
      </c>
      <c r="G117" s="7">
        <v>20.5</v>
      </c>
      <c r="H117" s="7">
        <v>27</v>
      </c>
      <c r="I117" s="1"/>
      <c r="J117" s="1"/>
      <c r="K117" s="1"/>
      <c r="L117" s="1"/>
      <c r="M117" s="1"/>
      <c r="N117" s="1"/>
      <c r="O117" s="1"/>
      <c r="P117" s="1"/>
      <c r="Q117" s="12">
        <v>23.813580000000002</v>
      </c>
      <c r="R117" s="1"/>
      <c r="S117" s="1"/>
      <c r="T117" s="1">
        <v>23.75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>
        <f t="shared" si="56"/>
        <v>23.781790000000001</v>
      </c>
      <c r="AF117" s="1"/>
      <c r="AG117" s="1">
        <f t="shared" si="57"/>
        <v>23.781790000000001</v>
      </c>
      <c r="AH117" s="1">
        <v>8</v>
      </c>
      <c r="AI117" s="1">
        <v>12</v>
      </c>
      <c r="AJ117" s="1">
        <v>11</v>
      </c>
      <c r="AK117" s="1">
        <v>12</v>
      </c>
      <c r="AL117" s="1">
        <v>10</v>
      </c>
      <c r="AM117" s="1">
        <v>11.5</v>
      </c>
      <c r="AN117" s="1"/>
      <c r="AO117" s="1"/>
      <c r="AP117" s="1"/>
      <c r="AQ117" s="1">
        <f t="shared" si="58"/>
        <v>10.75</v>
      </c>
      <c r="AR117" s="1"/>
      <c r="AS117" s="12">
        <f t="shared" si="59"/>
        <v>10.75</v>
      </c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>
        <v>5</v>
      </c>
      <c r="BK117" s="1">
        <v>5.5</v>
      </c>
      <c r="BL117" s="1"/>
      <c r="BM117" s="1"/>
      <c r="BN117" s="12">
        <f t="shared" si="65"/>
        <v>5.25</v>
      </c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2"/>
      <c r="CC117" s="13">
        <f t="shared" si="63"/>
        <v>0</v>
      </c>
      <c r="CD117" s="6"/>
      <c r="CE117" s="6"/>
      <c r="CF117" s="6"/>
      <c r="CG117" s="6"/>
      <c r="CH117" s="6"/>
      <c r="CI117" s="6"/>
      <c r="CJ117" s="13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</row>
    <row r="118" spans="1:160" x14ac:dyDescent="0.3">
      <c r="A118" s="6" t="s">
        <v>251</v>
      </c>
      <c r="B118" s="10" t="s">
        <v>251</v>
      </c>
      <c r="C118" s="10" t="s">
        <v>252</v>
      </c>
      <c r="D118" s="6" t="s">
        <v>252</v>
      </c>
      <c r="E118" s="7"/>
      <c r="F118" s="7"/>
      <c r="G118" s="7"/>
      <c r="H118" s="7"/>
      <c r="I118" s="1"/>
      <c r="J118" s="1"/>
      <c r="K118" s="1">
        <v>10.5</v>
      </c>
      <c r="L118" s="1"/>
      <c r="M118" s="1"/>
      <c r="N118" s="1"/>
      <c r="O118" s="1">
        <v>7.5</v>
      </c>
      <c r="P118" s="1"/>
      <c r="Q118" s="12"/>
      <c r="R118" s="1"/>
      <c r="S118" s="1"/>
      <c r="T118" s="1">
        <v>9</v>
      </c>
      <c r="U118" s="1">
        <v>10.5</v>
      </c>
      <c r="V118" s="1">
        <v>7.5</v>
      </c>
      <c r="W118" s="1"/>
      <c r="X118" s="1"/>
      <c r="Y118" s="1"/>
      <c r="Z118" s="1"/>
      <c r="AA118" s="1"/>
      <c r="AB118" s="1"/>
      <c r="AC118" s="1"/>
      <c r="AD118" s="1"/>
      <c r="AE118" s="1">
        <f t="shared" si="56"/>
        <v>9</v>
      </c>
      <c r="AF118" s="1"/>
      <c r="AG118" s="1">
        <f t="shared" si="57"/>
        <v>9</v>
      </c>
      <c r="AH118" s="1">
        <v>13</v>
      </c>
      <c r="AI118" s="1">
        <v>16</v>
      </c>
      <c r="AJ118" s="1">
        <v>12</v>
      </c>
      <c r="AK118" s="1">
        <v>13</v>
      </c>
      <c r="AL118" s="1">
        <v>14.5</v>
      </c>
      <c r="AM118" s="1">
        <v>12.5</v>
      </c>
      <c r="AN118" s="1"/>
      <c r="AO118" s="1"/>
      <c r="AP118" s="1"/>
      <c r="AQ118" s="1">
        <f t="shared" si="58"/>
        <v>13.5</v>
      </c>
      <c r="AR118" s="1"/>
      <c r="AS118" s="12">
        <f t="shared" si="59"/>
        <v>13.5</v>
      </c>
      <c r="AT118" s="1"/>
      <c r="AU118" s="1"/>
      <c r="AV118" s="1"/>
      <c r="AW118" s="1"/>
      <c r="AX118" s="1"/>
      <c r="AY118" s="1"/>
      <c r="AZ118" s="1">
        <v>3.3</v>
      </c>
      <c r="BA118" s="1"/>
      <c r="BB118" s="1"/>
      <c r="BC118" s="1"/>
      <c r="BD118" s="1"/>
      <c r="BE118" s="1">
        <v>3</v>
      </c>
      <c r="BF118" s="1"/>
      <c r="BG118" s="1"/>
      <c r="BH118" s="1"/>
      <c r="BI118" s="1"/>
      <c r="BJ118" s="1"/>
      <c r="BK118" s="1"/>
      <c r="BL118" s="1"/>
      <c r="BM118" s="1">
        <f>AVERAGE(AV118:BI118)</f>
        <v>3.15</v>
      </c>
      <c r="BN118" s="12">
        <f t="shared" si="65"/>
        <v>3.15</v>
      </c>
      <c r="BO118" s="1"/>
      <c r="BP118" s="1"/>
      <c r="BQ118" s="1"/>
      <c r="BR118" s="1"/>
      <c r="BS118" s="1"/>
      <c r="BT118" s="1">
        <v>241</v>
      </c>
      <c r="BU118" s="1"/>
      <c r="BV118" s="1"/>
      <c r="BW118" s="1"/>
      <c r="BX118" s="1"/>
      <c r="BY118" s="1">
        <f>AVERAGE(BR118:BU118)</f>
        <v>241</v>
      </c>
      <c r="BZ118" s="1">
        <f>BY118/1000</f>
        <v>0.24099999999999999</v>
      </c>
      <c r="CA118" s="1">
        <f>AVERAGE(BQ118:BU118)</f>
        <v>241</v>
      </c>
      <c r="CB118" s="12">
        <f>CA118/1000</f>
        <v>0.24099999999999999</v>
      </c>
      <c r="CC118" s="13">
        <f t="shared" si="63"/>
        <v>0.75914999999999999</v>
      </c>
      <c r="CD118" s="6"/>
      <c r="CE118" s="6"/>
      <c r="CF118" s="6"/>
      <c r="CG118" s="6"/>
      <c r="CH118" s="6"/>
      <c r="CI118" s="6"/>
      <c r="CJ118" s="13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</row>
    <row r="119" spans="1:160" x14ac:dyDescent="0.3">
      <c r="A119" s="6" t="s">
        <v>253</v>
      </c>
      <c r="B119" s="10" t="s">
        <v>253</v>
      </c>
      <c r="C119" s="10" t="s">
        <v>254</v>
      </c>
      <c r="D119" s="6" t="s">
        <v>254</v>
      </c>
      <c r="E119" s="7">
        <v>4.0823280000000004</v>
      </c>
      <c r="F119" s="7">
        <v>7.2574719999999999</v>
      </c>
      <c r="G119" s="7"/>
      <c r="H119" s="7"/>
      <c r="I119" s="1"/>
      <c r="J119" s="1"/>
      <c r="K119" s="1">
        <v>4</v>
      </c>
      <c r="L119" s="1">
        <v>7</v>
      </c>
      <c r="M119" s="1"/>
      <c r="N119" s="1"/>
      <c r="O119" s="1">
        <v>4</v>
      </c>
      <c r="P119" s="1">
        <v>7</v>
      </c>
      <c r="Q119" s="12">
        <v>5.6699000000000002</v>
      </c>
      <c r="R119" s="1"/>
      <c r="S119" s="1"/>
      <c r="T119" s="1">
        <v>5.5</v>
      </c>
      <c r="U119" s="1">
        <v>5.5</v>
      </c>
      <c r="V119" s="1">
        <v>5.5</v>
      </c>
      <c r="W119" s="1">
        <f>AVERAGE(X119:Y119)</f>
        <v>5.5</v>
      </c>
      <c r="X119" s="1">
        <v>5.5</v>
      </c>
      <c r="Y119" s="1"/>
      <c r="Z119" s="1"/>
      <c r="AA119" s="1">
        <v>5</v>
      </c>
      <c r="AB119" s="1"/>
      <c r="AC119" s="1"/>
      <c r="AD119" s="1">
        <v>6.8</v>
      </c>
      <c r="AE119" s="1">
        <f t="shared" si="56"/>
        <v>5.5566333333333331</v>
      </c>
      <c r="AF119" s="1">
        <f>AVERAGE(X119:AD119)</f>
        <v>5.7666666666666666</v>
      </c>
      <c r="AG119" s="1">
        <f t="shared" si="57"/>
        <v>5.6616499999999998</v>
      </c>
      <c r="AH119" s="1">
        <v>10</v>
      </c>
      <c r="AI119" s="1">
        <v>18</v>
      </c>
      <c r="AJ119" s="1">
        <v>13</v>
      </c>
      <c r="AK119" s="1">
        <v>15</v>
      </c>
      <c r="AL119" s="1">
        <v>14</v>
      </c>
      <c r="AM119" s="1">
        <v>14</v>
      </c>
      <c r="AN119" s="1"/>
      <c r="AO119" s="1">
        <v>13.3</v>
      </c>
      <c r="AP119" s="1">
        <v>13.4</v>
      </c>
      <c r="AQ119" s="1">
        <f t="shared" si="58"/>
        <v>14</v>
      </c>
      <c r="AR119" s="1">
        <f>AVERAGE(AN119:AP119)</f>
        <v>13.350000000000001</v>
      </c>
      <c r="AS119" s="12">
        <f t="shared" si="59"/>
        <v>13.566666666666668</v>
      </c>
      <c r="AT119" s="1">
        <v>3.5</v>
      </c>
      <c r="AU119" s="1"/>
      <c r="AV119" s="1"/>
      <c r="AW119" s="1"/>
      <c r="AX119" s="1"/>
      <c r="AY119" s="1"/>
      <c r="AZ119" s="1">
        <v>4.2</v>
      </c>
      <c r="BA119" s="1"/>
      <c r="BB119" s="1"/>
      <c r="BC119" s="1"/>
      <c r="BD119" s="1"/>
      <c r="BE119" s="1">
        <v>4</v>
      </c>
      <c r="BF119" s="1">
        <v>5.33</v>
      </c>
      <c r="BG119" s="1"/>
      <c r="BH119" s="1">
        <v>4.54</v>
      </c>
      <c r="BI119" s="1"/>
      <c r="BJ119" s="1"/>
      <c r="BK119" s="1"/>
      <c r="BL119" s="1">
        <f>AVERAGE(AT119:AU119)</f>
        <v>3.5</v>
      </c>
      <c r="BM119" s="1">
        <f>AVERAGE(AV119:BI119)</f>
        <v>4.5175000000000001</v>
      </c>
      <c r="BN119" s="12">
        <f t="shared" si="65"/>
        <v>4.3140000000000001</v>
      </c>
      <c r="BO119" s="1"/>
      <c r="BP119" s="1"/>
      <c r="BQ119" s="1">
        <v>170.09700000000001</v>
      </c>
      <c r="BR119" s="1">
        <v>170</v>
      </c>
      <c r="BS119" s="1"/>
      <c r="BT119" s="1">
        <v>155</v>
      </c>
      <c r="BU119" s="1"/>
      <c r="BV119" s="1">
        <v>170</v>
      </c>
      <c r="BW119" s="1"/>
      <c r="BX119" s="1">
        <v>170.09700000000001</v>
      </c>
      <c r="BY119" s="1">
        <f>AVERAGE(BR119:BU119)</f>
        <v>162.5</v>
      </c>
      <c r="BZ119" s="1">
        <f>BY119/1000</f>
        <v>0.16250000000000001</v>
      </c>
      <c r="CA119" s="1">
        <f>AVERAGE(BQ119:BU119)</f>
        <v>165.03233333333333</v>
      </c>
      <c r="CB119" s="12">
        <f>CA119/1000</f>
        <v>0.16503233333333334</v>
      </c>
      <c r="CC119" s="13">
        <f t="shared" si="63"/>
        <v>0.71194948600000008</v>
      </c>
      <c r="CD119" s="6"/>
      <c r="CE119" s="6"/>
      <c r="CF119" s="6"/>
      <c r="CG119" s="6"/>
      <c r="CH119" s="6"/>
      <c r="CI119" s="6"/>
      <c r="CJ119" s="13">
        <f>((Q119-CB119)/CB119)*100</f>
        <v>3335.6297856783622</v>
      </c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</row>
    <row r="120" spans="1:160" x14ac:dyDescent="0.3">
      <c r="A120" s="6" t="s">
        <v>255</v>
      </c>
      <c r="B120" s="10" t="s">
        <v>255</v>
      </c>
      <c r="C120" s="10" t="s">
        <v>256</v>
      </c>
      <c r="D120" s="6" t="s">
        <v>256</v>
      </c>
      <c r="E120" s="7">
        <v>4.53592</v>
      </c>
      <c r="F120" s="7"/>
      <c r="G120" s="7">
        <v>4</v>
      </c>
      <c r="H120" s="7">
        <v>5</v>
      </c>
      <c r="I120" s="1"/>
      <c r="J120" s="1"/>
      <c r="K120" s="1"/>
      <c r="L120" s="1"/>
      <c r="M120" s="1"/>
      <c r="N120" s="1"/>
      <c r="O120" s="1"/>
      <c r="P120" s="1"/>
      <c r="Q120" s="12">
        <v>4.53592</v>
      </c>
      <c r="R120" s="1"/>
      <c r="S120" s="1"/>
      <c r="T120" s="1">
        <v>4.5</v>
      </c>
      <c r="U120" s="1"/>
      <c r="V120" s="1"/>
      <c r="W120" s="1"/>
      <c r="X120" s="1"/>
      <c r="Y120" s="1"/>
      <c r="Z120" s="1"/>
      <c r="AA120" s="1"/>
      <c r="AB120" s="1"/>
      <c r="AC120" s="1"/>
      <c r="AD120" s="1">
        <v>4.08</v>
      </c>
      <c r="AE120" s="1">
        <f t="shared" si="56"/>
        <v>4.5119733333333336</v>
      </c>
      <c r="AF120" s="1">
        <f>AVERAGE(X120:AD120)</f>
        <v>4.08</v>
      </c>
      <c r="AG120" s="1">
        <f t="shared" si="57"/>
        <v>4.2959866666666668</v>
      </c>
      <c r="AH120" s="1">
        <v>13</v>
      </c>
      <c r="AI120" s="1">
        <v>15</v>
      </c>
      <c r="AJ120" s="1">
        <v>11</v>
      </c>
      <c r="AK120" s="1">
        <v>14</v>
      </c>
      <c r="AL120" s="1">
        <v>14</v>
      </c>
      <c r="AM120" s="1">
        <v>12.5</v>
      </c>
      <c r="AN120" s="1"/>
      <c r="AO120" s="1"/>
      <c r="AP120" s="1"/>
      <c r="AQ120" s="1">
        <f t="shared" si="58"/>
        <v>13.25</v>
      </c>
      <c r="AR120" s="1"/>
      <c r="AS120" s="12">
        <f t="shared" si="59"/>
        <v>13.25</v>
      </c>
      <c r="AT120" s="1">
        <v>3.5</v>
      </c>
      <c r="AU120" s="1"/>
      <c r="AV120" s="1"/>
      <c r="AW120" s="1"/>
      <c r="AX120" s="1"/>
      <c r="AY120" s="1"/>
      <c r="AZ120" s="1">
        <v>3.7</v>
      </c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>
        <f>AVERAGE(AT120:AU120)</f>
        <v>3.5</v>
      </c>
      <c r="BM120" s="1">
        <f>AVERAGE(AV120:BI120)</f>
        <v>3.7</v>
      </c>
      <c r="BN120" s="12">
        <f t="shared" si="65"/>
        <v>3.6</v>
      </c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2"/>
      <c r="CC120" s="13">
        <f t="shared" si="63"/>
        <v>0</v>
      </c>
      <c r="CD120" s="6"/>
      <c r="CE120" s="6"/>
      <c r="CF120" s="6"/>
      <c r="CG120" s="6"/>
      <c r="CH120" s="6"/>
      <c r="CI120" s="6"/>
      <c r="CJ120" s="13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</row>
    <row r="121" spans="1:160" x14ac:dyDescent="0.3">
      <c r="A121" s="6" t="s">
        <v>257</v>
      </c>
      <c r="B121" s="10" t="s">
        <v>257</v>
      </c>
      <c r="C121" s="10" t="s">
        <v>258</v>
      </c>
      <c r="D121" s="6" t="s">
        <v>258</v>
      </c>
      <c r="E121" s="7">
        <v>4.53592</v>
      </c>
      <c r="F121" s="7">
        <v>7.2574719999999999</v>
      </c>
      <c r="G121" s="7">
        <v>3</v>
      </c>
      <c r="H121" s="7">
        <v>7.5</v>
      </c>
      <c r="I121" s="1"/>
      <c r="J121" s="1"/>
      <c r="K121" s="1"/>
      <c r="L121" s="1"/>
      <c r="M121" s="1"/>
      <c r="N121" s="1"/>
      <c r="O121" s="1"/>
      <c r="P121" s="1"/>
      <c r="Q121" s="12">
        <v>5.8966960000000004</v>
      </c>
      <c r="R121" s="1"/>
      <c r="S121" s="1"/>
      <c r="T121" s="1">
        <v>5.25</v>
      </c>
      <c r="U121" s="1"/>
      <c r="V121" s="1"/>
      <c r="W121" s="1">
        <f>AVERAGE(X121:Y121)</f>
        <v>6.75</v>
      </c>
      <c r="X121" s="1">
        <v>6.75</v>
      </c>
      <c r="Y121" s="1"/>
      <c r="Z121" s="1"/>
      <c r="AA121" s="1"/>
      <c r="AB121" s="1"/>
      <c r="AC121" s="1"/>
      <c r="AD121" s="1"/>
      <c r="AE121" s="1">
        <f t="shared" si="56"/>
        <v>5.5733480000000002</v>
      </c>
      <c r="AF121" s="1">
        <f>AVERAGE(X121:AD121)</f>
        <v>6.75</v>
      </c>
      <c r="AG121" s="1">
        <f t="shared" si="57"/>
        <v>6.1616739999999997</v>
      </c>
      <c r="AH121" s="1">
        <v>12</v>
      </c>
      <c r="AI121" s="1">
        <v>14</v>
      </c>
      <c r="AJ121" s="1">
        <v>13</v>
      </c>
      <c r="AK121" s="1">
        <v>16</v>
      </c>
      <c r="AL121" s="1">
        <v>13</v>
      </c>
      <c r="AM121" s="1">
        <v>14.5</v>
      </c>
      <c r="AN121" s="1"/>
      <c r="AO121" s="1"/>
      <c r="AP121" s="1"/>
      <c r="AQ121" s="1">
        <f t="shared" si="58"/>
        <v>13.75</v>
      </c>
      <c r="AR121" s="1"/>
      <c r="AS121" s="12">
        <f t="shared" si="59"/>
        <v>13.75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>
        <v>5</v>
      </c>
      <c r="BK121" s="1">
        <v>4.5</v>
      </c>
      <c r="BL121" s="1"/>
      <c r="BM121" s="1"/>
      <c r="BN121" s="12">
        <f t="shared" si="65"/>
        <v>4.75</v>
      </c>
      <c r="BO121" s="1"/>
      <c r="BP121" s="1"/>
      <c r="BQ121" s="1"/>
      <c r="BR121" s="1">
        <v>140</v>
      </c>
      <c r="BS121" s="1"/>
      <c r="BT121" s="1"/>
      <c r="BU121" s="1"/>
      <c r="BV121" s="1">
        <v>140</v>
      </c>
      <c r="BW121" s="1"/>
      <c r="BX121" s="1"/>
      <c r="BY121" s="1">
        <f>AVERAGE(BR121:BU121)</f>
        <v>140</v>
      </c>
      <c r="BZ121" s="1">
        <f>BY121/1000</f>
        <v>0.14000000000000001</v>
      </c>
      <c r="CA121" s="1">
        <f>AVERAGE(BQ121:BU121)</f>
        <v>140</v>
      </c>
      <c r="CB121" s="12">
        <f>CA121/1000</f>
        <v>0.14000000000000001</v>
      </c>
      <c r="CC121" s="13">
        <f t="shared" si="63"/>
        <v>0.66500000000000004</v>
      </c>
      <c r="CD121" s="6"/>
      <c r="CE121" s="6"/>
      <c r="CF121" s="6"/>
      <c r="CG121" s="6"/>
      <c r="CH121" s="6"/>
      <c r="CI121" s="6"/>
      <c r="CJ121" s="13">
        <f>((Q121-CB121)/CB121)*100</f>
        <v>4111.9257142857141</v>
      </c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</row>
    <row r="122" spans="1:160" x14ac:dyDescent="0.3">
      <c r="A122" s="6" t="s">
        <v>259</v>
      </c>
      <c r="B122" s="10" t="s">
        <v>259</v>
      </c>
      <c r="C122" s="10" t="s">
        <v>260</v>
      </c>
      <c r="D122" s="6" t="s">
        <v>260</v>
      </c>
      <c r="E122" s="7">
        <v>15.875719999999999</v>
      </c>
      <c r="F122" s="7">
        <v>22.679600000000001</v>
      </c>
      <c r="G122" s="7"/>
      <c r="H122" s="7"/>
      <c r="I122" s="1"/>
      <c r="J122" s="1"/>
      <c r="K122" s="1"/>
      <c r="L122" s="1"/>
      <c r="M122" s="1"/>
      <c r="N122" s="1"/>
      <c r="O122" s="1"/>
      <c r="P122" s="1"/>
      <c r="Q122" s="12">
        <v>19.277660000000001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>
        <f t="shared" si="56"/>
        <v>19.277660000000001</v>
      </c>
      <c r="AF122" s="1"/>
      <c r="AG122" s="1">
        <f t="shared" si="57"/>
        <v>19.277660000000001</v>
      </c>
      <c r="AH122" s="1">
        <v>10</v>
      </c>
      <c r="AI122" s="1">
        <v>15</v>
      </c>
      <c r="AJ122" s="1"/>
      <c r="AK122" s="1"/>
      <c r="AL122" s="1">
        <v>12.5</v>
      </c>
      <c r="AM122" s="1"/>
      <c r="AN122" s="1"/>
      <c r="AO122" s="1"/>
      <c r="AP122" s="1"/>
      <c r="AQ122" s="1">
        <f t="shared" si="58"/>
        <v>12.5</v>
      </c>
      <c r="AR122" s="1"/>
      <c r="AS122" s="12">
        <f t="shared" si="59"/>
        <v>12.5</v>
      </c>
      <c r="AT122" s="1"/>
      <c r="AU122" s="1"/>
      <c r="AV122" s="1"/>
      <c r="AW122" s="1"/>
      <c r="AX122" s="1"/>
      <c r="AY122" s="1"/>
      <c r="AZ122" s="1">
        <v>10</v>
      </c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>
        <f t="shared" ref="BM122:BM141" si="66">AVERAGE(AV122:BI122)</f>
        <v>10</v>
      </c>
      <c r="BN122" s="12">
        <f t="shared" si="65"/>
        <v>10</v>
      </c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2"/>
      <c r="CC122" s="13">
        <f t="shared" si="63"/>
        <v>0</v>
      </c>
      <c r="CD122" s="6"/>
      <c r="CE122" s="6"/>
      <c r="CF122" s="6"/>
      <c r="CG122" s="6"/>
      <c r="CH122" s="6"/>
      <c r="CI122" s="6"/>
      <c r="CJ122" s="13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</row>
    <row r="123" spans="1:160" x14ac:dyDescent="0.3">
      <c r="A123" s="6" t="s">
        <v>261</v>
      </c>
      <c r="B123" s="10" t="s">
        <v>261</v>
      </c>
      <c r="C123" s="10" t="s">
        <v>262</v>
      </c>
      <c r="D123" s="6" t="s">
        <v>262</v>
      </c>
      <c r="E123" s="7"/>
      <c r="F123" s="7"/>
      <c r="G123" s="7"/>
      <c r="H123" s="7"/>
      <c r="I123" s="1"/>
      <c r="J123" s="1"/>
      <c r="K123" s="1">
        <v>32</v>
      </c>
      <c r="L123" s="1">
        <v>38</v>
      </c>
      <c r="M123" s="1"/>
      <c r="N123" s="1"/>
      <c r="O123" s="1">
        <v>28</v>
      </c>
      <c r="P123" s="1">
        <v>32</v>
      </c>
      <c r="Q123" s="12"/>
      <c r="R123" s="1"/>
      <c r="S123" s="1"/>
      <c r="T123" s="1">
        <v>32.5</v>
      </c>
      <c r="U123" s="1">
        <v>35</v>
      </c>
      <c r="V123" s="1">
        <v>30</v>
      </c>
      <c r="W123" s="1">
        <f>AVERAGE(X123:Y123)</f>
        <v>33.11</v>
      </c>
      <c r="X123" s="1">
        <v>33.11</v>
      </c>
      <c r="Y123" s="1"/>
      <c r="Z123" s="1"/>
      <c r="AA123" s="1"/>
      <c r="AB123" s="1"/>
      <c r="AC123" s="1"/>
      <c r="AD123" s="1"/>
      <c r="AE123" s="1">
        <f t="shared" si="56"/>
        <v>32.5</v>
      </c>
      <c r="AF123" s="1">
        <f t="shared" ref="AF123:AF128" si="67">AVERAGE(X123:AD123)</f>
        <v>33.11</v>
      </c>
      <c r="AG123" s="1">
        <f t="shared" si="57"/>
        <v>32.805</v>
      </c>
      <c r="AH123" s="1">
        <v>10</v>
      </c>
      <c r="AI123" s="1">
        <v>12</v>
      </c>
      <c r="AJ123" s="1">
        <v>12</v>
      </c>
      <c r="AK123" s="1">
        <v>14</v>
      </c>
      <c r="AL123" s="1">
        <v>11</v>
      </c>
      <c r="AM123" s="1">
        <v>13</v>
      </c>
      <c r="AN123" s="1"/>
      <c r="AO123" s="1"/>
      <c r="AP123" s="1"/>
      <c r="AQ123" s="1">
        <f t="shared" si="58"/>
        <v>12</v>
      </c>
      <c r="AR123" s="1"/>
      <c r="AS123" s="12">
        <f t="shared" si="59"/>
        <v>12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>
        <v>8</v>
      </c>
      <c r="BF123" s="1"/>
      <c r="BG123" s="1"/>
      <c r="BH123" s="1"/>
      <c r="BI123" s="1"/>
      <c r="BJ123" s="1"/>
      <c r="BK123" s="1"/>
      <c r="BL123" s="1"/>
      <c r="BM123" s="1">
        <f t="shared" si="66"/>
        <v>8</v>
      </c>
      <c r="BN123" s="12">
        <f t="shared" si="65"/>
        <v>8</v>
      </c>
      <c r="BO123" s="1"/>
      <c r="BP123" s="1"/>
      <c r="BQ123" s="1"/>
      <c r="BR123" s="1">
        <v>650</v>
      </c>
      <c r="BS123" s="1"/>
      <c r="BT123" s="1">
        <v>450</v>
      </c>
      <c r="BU123" s="1"/>
      <c r="BV123" s="1">
        <v>650</v>
      </c>
      <c r="BW123" s="1"/>
      <c r="BX123" s="1"/>
      <c r="BY123" s="1">
        <f>AVERAGE(BR123:BU123)</f>
        <v>550</v>
      </c>
      <c r="BZ123" s="1">
        <f>BY123/1000</f>
        <v>0.55000000000000004</v>
      </c>
      <c r="CA123" s="1">
        <f>AVERAGE(BQ123:BU123)</f>
        <v>550</v>
      </c>
      <c r="CB123" s="12">
        <f>CA123/1000</f>
        <v>0.55000000000000004</v>
      </c>
      <c r="CC123" s="13">
        <f t="shared" si="63"/>
        <v>4.4000000000000004</v>
      </c>
      <c r="CD123" s="6"/>
      <c r="CE123" s="6"/>
      <c r="CF123" s="6"/>
      <c r="CG123" s="6"/>
      <c r="CH123" s="6"/>
      <c r="CI123" s="6"/>
      <c r="CJ123" s="13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</row>
    <row r="124" spans="1:160" x14ac:dyDescent="0.3">
      <c r="A124" s="6" t="s">
        <v>263</v>
      </c>
      <c r="B124" s="10" t="s">
        <v>263</v>
      </c>
      <c r="C124" s="10" t="s">
        <v>264</v>
      </c>
      <c r="D124" s="6" t="s">
        <v>265</v>
      </c>
      <c r="E124" s="7"/>
      <c r="F124" s="7"/>
      <c r="G124" s="7"/>
      <c r="H124" s="7"/>
      <c r="I124" s="1">
        <v>27.215520000000001</v>
      </c>
      <c r="J124" s="1">
        <v>31.751439999999999</v>
      </c>
      <c r="K124" s="1">
        <v>20</v>
      </c>
      <c r="L124" s="1">
        <v>32</v>
      </c>
      <c r="M124" s="1">
        <v>18.14368</v>
      </c>
      <c r="N124" s="1">
        <v>22.679600000000001</v>
      </c>
      <c r="O124" s="1">
        <v>20</v>
      </c>
      <c r="P124" s="1">
        <v>27</v>
      </c>
      <c r="Q124" s="12">
        <v>24.947559999999999</v>
      </c>
      <c r="R124" s="1">
        <v>29.48348</v>
      </c>
      <c r="S124" s="1">
        <v>20.411639999999998</v>
      </c>
      <c r="T124" s="1">
        <v>24.75</v>
      </c>
      <c r="U124" s="1">
        <v>26</v>
      </c>
      <c r="V124" s="1">
        <v>23.5</v>
      </c>
      <c r="W124" s="1"/>
      <c r="X124" s="1"/>
      <c r="Y124" s="1"/>
      <c r="Z124" s="1"/>
      <c r="AA124" s="1">
        <v>25</v>
      </c>
      <c r="AB124" s="1"/>
      <c r="AC124" s="1"/>
      <c r="AD124" s="1">
        <v>29.48</v>
      </c>
      <c r="AE124" s="1">
        <f t="shared" si="56"/>
        <v>24.848779999999998</v>
      </c>
      <c r="AF124" s="1">
        <f t="shared" si="67"/>
        <v>27.240000000000002</v>
      </c>
      <c r="AG124" s="1">
        <f t="shared" si="57"/>
        <v>26.04439</v>
      </c>
      <c r="AH124" s="1">
        <v>10</v>
      </c>
      <c r="AI124" s="1">
        <v>18</v>
      </c>
      <c r="AJ124" s="1">
        <v>12</v>
      </c>
      <c r="AK124" s="1">
        <v>15</v>
      </c>
      <c r="AL124" s="1">
        <v>14</v>
      </c>
      <c r="AM124" s="1">
        <v>13.5</v>
      </c>
      <c r="AN124" s="1"/>
      <c r="AO124" s="1"/>
      <c r="AP124" s="1">
        <v>12</v>
      </c>
      <c r="AQ124" s="1">
        <f t="shared" si="58"/>
        <v>13.75</v>
      </c>
      <c r="AR124" s="1">
        <f>AVERAGE(AN124:AP124)</f>
        <v>12</v>
      </c>
      <c r="AS124" s="12">
        <f t="shared" si="59"/>
        <v>12.875</v>
      </c>
      <c r="AT124" s="1"/>
      <c r="AU124" s="1"/>
      <c r="AV124" s="1"/>
      <c r="AW124" s="1"/>
      <c r="AX124" s="1"/>
      <c r="AY124" s="1"/>
      <c r="AZ124" s="1">
        <v>7</v>
      </c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>
        <f t="shared" si="66"/>
        <v>7</v>
      </c>
      <c r="BN124" s="12">
        <f t="shared" si="65"/>
        <v>7</v>
      </c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2"/>
      <c r="CC124" s="13">
        <f t="shared" si="63"/>
        <v>0</v>
      </c>
      <c r="CD124" s="6"/>
      <c r="CE124" s="6"/>
      <c r="CF124" s="6"/>
      <c r="CG124" s="6"/>
      <c r="CH124" s="6"/>
      <c r="CI124" s="6"/>
      <c r="CJ124" s="13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</row>
    <row r="125" spans="1:160" x14ac:dyDescent="0.3">
      <c r="A125" s="6" t="s">
        <v>266</v>
      </c>
      <c r="B125" s="10" t="s">
        <v>266</v>
      </c>
      <c r="C125" s="10" t="s">
        <v>267</v>
      </c>
      <c r="D125" s="6" t="s">
        <v>267</v>
      </c>
      <c r="E125" s="7">
        <v>6.8038800000000004</v>
      </c>
      <c r="F125" s="7">
        <v>11.3398</v>
      </c>
      <c r="G125" s="7"/>
      <c r="H125" s="7"/>
      <c r="I125" s="1"/>
      <c r="J125" s="1"/>
      <c r="K125" s="1">
        <v>6</v>
      </c>
      <c r="L125" s="1">
        <v>8</v>
      </c>
      <c r="M125" s="1"/>
      <c r="N125" s="1"/>
      <c r="O125" s="1">
        <v>5.5</v>
      </c>
      <c r="P125" s="1">
        <v>7</v>
      </c>
      <c r="Q125" s="12">
        <v>9.0718399999999999</v>
      </c>
      <c r="R125" s="1"/>
      <c r="S125" s="1"/>
      <c r="T125" s="1">
        <v>6.625</v>
      </c>
      <c r="U125" s="1">
        <v>7</v>
      </c>
      <c r="V125" s="1">
        <v>6.25</v>
      </c>
      <c r="W125" s="1"/>
      <c r="X125" s="1"/>
      <c r="Y125" s="1"/>
      <c r="Z125" s="1"/>
      <c r="AA125" s="1">
        <v>7</v>
      </c>
      <c r="AB125" s="1"/>
      <c r="AC125" s="1"/>
      <c r="AD125" s="1">
        <v>9.07</v>
      </c>
      <c r="AE125" s="1">
        <f t="shared" si="56"/>
        <v>7.4406133333333342</v>
      </c>
      <c r="AF125" s="1">
        <f t="shared" si="67"/>
        <v>8.0350000000000001</v>
      </c>
      <c r="AG125" s="1">
        <f t="shared" si="57"/>
        <v>7.7378066666666676</v>
      </c>
      <c r="AH125" s="1">
        <v>12</v>
      </c>
      <c r="AI125" s="1">
        <v>14</v>
      </c>
      <c r="AJ125" s="1">
        <v>12</v>
      </c>
      <c r="AK125" s="1">
        <v>15</v>
      </c>
      <c r="AL125" s="1">
        <v>13</v>
      </c>
      <c r="AM125" s="1">
        <v>13.5</v>
      </c>
      <c r="AN125" s="1"/>
      <c r="AO125" s="1">
        <v>12.5</v>
      </c>
      <c r="AP125" s="1">
        <v>13.3</v>
      </c>
      <c r="AQ125" s="1">
        <f t="shared" si="58"/>
        <v>13.25</v>
      </c>
      <c r="AR125" s="1">
        <f>AVERAGE(AN125:AP125)</f>
        <v>12.9</v>
      </c>
      <c r="AS125" s="12">
        <f t="shared" si="59"/>
        <v>13.016666666666666</v>
      </c>
      <c r="AT125" s="1">
        <v>5</v>
      </c>
      <c r="AU125" s="1"/>
      <c r="AV125" s="1"/>
      <c r="AW125" s="1"/>
      <c r="AX125" s="1"/>
      <c r="AY125" s="1"/>
      <c r="AZ125" s="1">
        <v>3.9</v>
      </c>
      <c r="BA125" s="1"/>
      <c r="BB125" s="1"/>
      <c r="BC125" s="1"/>
      <c r="BD125" s="1"/>
      <c r="BE125" s="1">
        <v>5</v>
      </c>
      <c r="BF125" s="1"/>
      <c r="BG125" s="1"/>
      <c r="BH125" s="1"/>
      <c r="BI125" s="1">
        <f>BO125+BP125</f>
        <v>3.45</v>
      </c>
      <c r="BJ125" s="1"/>
      <c r="BK125" s="1"/>
      <c r="BL125" s="1">
        <f>AVERAGE(AT125:AU125)</f>
        <v>5</v>
      </c>
      <c r="BM125" s="1">
        <f t="shared" si="66"/>
        <v>4.1166666666666671</v>
      </c>
      <c r="BN125" s="12">
        <f t="shared" si="65"/>
        <v>4.3375000000000004</v>
      </c>
      <c r="BO125" s="1">
        <v>1.69</v>
      </c>
      <c r="BP125" s="1">
        <v>1.76</v>
      </c>
      <c r="BQ125" s="1">
        <v>198.44649999999999</v>
      </c>
      <c r="BR125" s="1"/>
      <c r="BS125" s="1"/>
      <c r="BT125" s="1">
        <v>150</v>
      </c>
      <c r="BU125" s="1"/>
      <c r="BV125" s="1"/>
      <c r="BW125" s="1"/>
      <c r="BX125" s="1">
        <v>198.44649999999999</v>
      </c>
      <c r="BY125" s="1">
        <f>AVERAGE(BR125:BU125)</f>
        <v>150</v>
      </c>
      <c r="BZ125" s="1">
        <f>BY125/1000</f>
        <v>0.15</v>
      </c>
      <c r="CA125" s="1">
        <f>AVERAGE(BQ125:BU125)</f>
        <v>174.22325000000001</v>
      </c>
      <c r="CB125" s="12">
        <f>CA125/1000</f>
        <v>0.17422325</v>
      </c>
      <c r="CC125" s="13">
        <f t="shared" si="63"/>
        <v>0.755693346875</v>
      </c>
      <c r="CD125" s="6"/>
      <c r="CE125" s="6"/>
      <c r="CF125" s="6"/>
      <c r="CG125" s="6"/>
      <c r="CH125" s="6"/>
      <c r="CI125" s="6"/>
      <c r="CJ125" s="13">
        <f>((Q125-CB125)/CB125)*100</f>
        <v>5107.0203029733402</v>
      </c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</row>
    <row r="126" spans="1:160" x14ac:dyDescent="0.3">
      <c r="A126" s="6" t="s">
        <v>268</v>
      </c>
      <c r="B126" s="10" t="s">
        <v>268</v>
      </c>
      <c r="C126" s="10" t="s">
        <v>269</v>
      </c>
      <c r="D126" s="6" t="s">
        <v>269</v>
      </c>
      <c r="E126" s="7"/>
      <c r="F126" s="7"/>
      <c r="G126" s="7"/>
      <c r="H126" s="7"/>
      <c r="I126" s="1">
        <v>15.875719999999999</v>
      </c>
      <c r="J126" s="1">
        <v>22.679600000000001</v>
      </c>
      <c r="K126" s="1">
        <v>18</v>
      </c>
      <c r="L126" s="1">
        <v>20.5</v>
      </c>
      <c r="M126" s="1">
        <v>13.607760000000001</v>
      </c>
      <c r="N126" s="1">
        <v>20.411639999999998</v>
      </c>
      <c r="O126" s="1">
        <v>16</v>
      </c>
      <c r="P126" s="1">
        <v>18</v>
      </c>
      <c r="Q126" s="12">
        <v>18.14368</v>
      </c>
      <c r="R126" s="1">
        <v>19.277660000000001</v>
      </c>
      <c r="S126" s="1">
        <v>17.009699999999999</v>
      </c>
      <c r="T126" s="1">
        <v>18.125</v>
      </c>
      <c r="U126" s="1">
        <v>19.25</v>
      </c>
      <c r="V126" s="1">
        <v>17</v>
      </c>
      <c r="W126" s="1"/>
      <c r="X126" s="1"/>
      <c r="Y126" s="1"/>
      <c r="Z126" s="1"/>
      <c r="AA126" s="1">
        <v>17</v>
      </c>
      <c r="AB126" s="1"/>
      <c r="AC126" s="1"/>
      <c r="AD126" s="1">
        <v>15.88</v>
      </c>
      <c r="AE126" s="1">
        <f t="shared" si="56"/>
        <v>18.134339999999998</v>
      </c>
      <c r="AF126" s="1">
        <f t="shared" si="67"/>
        <v>16.440000000000001</v>
      </c>
      <c r="AG126" s="1">
        <f t="shared" si="57"/>
        <v>17.28717</v>
      </c>
      <c r="AH126" s="1">
        <v>13</v>
      </c>
      <c r="AI126" s="1">
        <v>16</v>
      </c>
      <c r="AJ126" s="1">
        <v>12</v>
      </c>
      <c r="AK126" s="1">
        <v>14</v>
      </c>
      <c r="AL126" s="1">
        <v>14.5</v>
      </c>
      <c r="AM126" s="1">
        <v>13</v>
      </c>
      <c r="AN126" s="1"/>
      <c r="AO126" s="1"/>
      <c r="AP126" s="1"/>
      <c r="AQ126" s="1">
        <f t="shared" si="58"/>
        <v>13.75</v>
      </c>
      <c r="AR126" s="1"/>
      <c r="AS126" s="12">
        <f t="shared" si="59"/>
        <v>13.75</v>
      </c>
      <c r="AT126" s="1"/>
      <c r="AU126" s="1"/>
      <c r="AV126" s="1"/>
      <c r="AW126" s="1"/>
      <c r="AX126" s="1"/>
      <c r="AY126" s="1"/>
      <c r="AZ126" s="1">
        <v>7</v>
      </c>
      <c r="BA126" s="1"/>
      <c r="BB126" s="1"/>
      <c r="BC126" s="1"/>
      <c r="BD126" s="1"/>
      <c r="BE126" s="1">
        <v>11</v>
      </c>
      <c r="BF126" s="1"/>
      <c r="BG126" s="1"/>
      <c r="BH126" s="1"/>
      <c r="BI126" s="1"/>
      <c r="BJ126" s="1"/>
      <c r="BK126" s="1"/>
      <c r="BL126" s="1"/>
      <c r="BM126" s="1">
        <f t="shared" si="66"/>
        <v>9</v>
      </c>
      <c r="BN126" s="12">
        <f t="shared" si="65"/>
        <v>9</v>
      </c>
      <c r="BO126" s="1"/>
      <c r="BP126" s="1"/>
      <c r="BQ126" s="1"/>
      <c r="BR126" s="1"/>
      <c r="BS126" s="1"/>
      <c r="BT126" s="1">
        <v>280</v>
      </c>
      <c r="BU126" s="1"/>
      <c r="BV126" s="1"/>
      <c r="BW126" s="1"/>
      <c r="BX126" s="1"/>
      <c r="BY126" s="1">
        <f>AVERAGE(BR126:BU126)</f>
        <v>280</v>
      </c>
      <c r="BZ126" s="1">
        <f>BY126/1000</f>
        <v>0.28000000000000003</v>
      </c>
      <c r="CA126" s="1">
        <f>AVERAGE(BQ126:BU126)</f>
        <v>280</v>
      </c>
      <c r="CB126" s="12">
        <f>CA126/1000</f>
        <v>0.28000000000000003</v>
      </c>
      <c r="CC126" s="13">
        <f t="shared" si="63"/>
        <v>2.5200000000000005</v>
      </c>
      <c r="CD126" s="6"/>
      <c r="CE126" s="6"/>
      <c r="CF126" s="6"/>
      <c r="CG126" s="6"/>
      <c r="CH126" s="6"/>
      <c r="CI126" s="6"/>
      <c r="CJ126" s="13">
        <f>((Q126-CB126)/CB126)*100</f>
        <v>6379.8857142857132</v>
      </c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</row>
    <row r="127" spans="1:160" x14ac:dyDescent="0.3">
      <c r="A127" s="6" t="s">
        <v>270</v>
      </c>
      <c r="B127" s="10" t="s">
        <v>270</v>
      </c>
      <c r="C127" s="10" t="s">
        <v>271</v>
      </c>
      <c r="D127" s="6" t="s">
        <v>271</v>
      </c>
      <c r="E127" s="7"/>
      <c r="F127" s="7"/>
      <c r="G127" s="7"/>
      <c r="H127" s="7"/>
      <c r="I127" s="1">
        <v>12.700576</v>
      </c>
      <c r="J127" s="1">
        <v>17.236495999999999</v>
      </c>
      <c r="K127" s="1">
        <v>12.5</v>
      </c>
      <c r="L127" s="1">
        <v>17</v>
      </c>
      <c r="M127" s="1">
        <v>10.886208</v>
      </c>
      <c r="N127" s="1">
        <v>15.422128000000001</v>
      </c>
      <c r="O127" s="1">
        <v>11</v>
      </c>
      <c r="P127" s="1">
        <v>15.5</v>
      </c>
      <c r="Q127" s="12">
        <v>14.061351999999999</v>
      </c>
      <c r="R127" s="1">
        <v>14.968536</v>
      </c>
      <c r="S127" s="1">
        <v>13.154168</v>
      </c>
      <c r="T127" s="1">
        <v>14</v>
      </c>
      <c r="U127" s="1">
        <v>14.75</v>
      </c>
      <c r="V127" s="1">
        <v>13.25</v>
      </c>
      <c r="W127" s="1">
        <f>AVERAGE(X127:Y127)</f>
        <v>14</v>
      </c>
      <c r="X127" s="1">
        <v>14</v>
      </c>
      <c r="Y127" s="1"/>
      <c r="Z127" s="1"/>
      <c r="AA127" s="1"/>
      <c r="AB127" s="1"/>
      <c r="AC127" s="1"/>
      <c r="AD127" s="1"/>
      <c r="AE127" s="1">
        <f t="shared" si="56"/>
        <v>14.030676</v>
      </c>
      <c r="AF127" s="1">
        <f t="shared" si="67"/>
        <v>14</v>
      </c>
      <c r="AG127" s="1">
        <f t="shared" si="57"/>
        <v>14.015338</v>
      </c>
      <c r="AH127" s="1">
        <v>12</v>
      </c>
      <c r="AI127" s="1">
        <v>14</v>
      </c>
      <c r="AJ127" s="1">
        <v>11</v>
      </c>
      <c r="AK127" s="1">
        <v>12</v>
      </c>
      <c r="AL127" s="1">
        <v>13</v>
      </c>
      <c r="AM127" s="1">
        <v>11.5</v>
      </c>
      <c r="AN127" s="1"/>
      <c r="AO127" s="1">
        <v>10.7</v>
      </c>
      <c r="AP127" s="1">
        <v>10</v>
      </c>
      <c r="AQ127" s="1">
        <f t="shared" si="58"/>
        <v>12.25</v>
      </c>
      <c r="AR127" s="1">
        <f>AVERAGE(AN127:AP127)</f>
        <v>10.35</v>
      </c>
      <c r="AS127" s="12">
        <f t="shared" si="59"/>
        <v>10.983333333333334</v>
      </c>
      <c r="AT127" s="1"/>
      <c r="AU127" s="1"/>
      <c r="AV127" s="1"/>
      <c r="AW127" s="1"/>
      <c r="AX127" s="1"/>
      <c r="AY127" s="1">
        <v>5.25</v>
      </c>
      <c r="AZ127" s="1">
        <v>5.6</v>
      </c>
      <c r="BA127" s="1"/>
      <c r="BB127" s="1"/>
      <c r="BC127" s="1"/>
      <c r="BD127" s="1"/>
      <c r="BE127" s="1">
        <v>5</v>
      </c>
      <c r="BF127" s="1"/>
      <c r="BG127" s="1"/>
      <c r="BH127" s="1"/>
      <c r="BI127" s="1"/>
      <c r="BJ127" s="1"/>
      <c r="BK127" s="1"/>
      <c r="BL127" s="1"/>
      <c r="BM127" s="1">
        <f t="shared" si="66"/>
        <v>5.2833333333333332</v>
      </c>
      <c r="BN127" s="12">
        <f t="shared" si="65"/>
        <v>5.2833333333333332</v>
      </c>
      <c r="BO127" s="1"/>
      <c r="BP127" s="1"/>
      <c r="BQ127" s="1"/>
      <c r="BR127" s="1">
        <v>284</v>
      </c>
      <c r="BS127" s="1"/>
      <c r="BT127" s="1">
        <v>319.5</v>
      </c>
      <c r="BU127" s="1"/>
      <c r="BV127" s="1">
        <v>284</v>
      </c>
      <c r="BW127" s="1"/>
      <c r="BX127" s="1"/>
      <c r="BY127" s="1">
        <f>AVERAGE(BR127:BU127)</f>
        <v>301.75</v>
      </c>
      <c r="BZ127" s="1">
        <f>BY127/1000</f>
        <v>0.30175000000000002</v>
      </c>
      <c r="CA127" s="1">
        <f>AVERAGE(BQ127:BU127)</f>
        <v>301.75</v>
      </c>
      <c r="CB127" s="12">
        <f>CA127/1000</f>
        <v>0.30175000000000002</v>
      </c>
      <c r="CC127" s="13">
        <f t="shared" si="63"/>
        <v>1.5942458333333334</v>
      </c>
      <c r="CD127" s="6"/>
      <c r="CE127" s="6"/>
      <c r="CF127" s="6"/>
      <c r="CG127" s="6"/>
      <c r="CH127" s="6"/>
      <c r="CI127" s="6"/>
      <c r="CJ127" s="13">
        <f>((Q127-CB127)/CB127)*100</f>
        <v>4559.934382767191</v>
      </c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</row>
    <row r="128" spans="1:160" x14ac:dyDescent="0.3">
      <c r="A128" s="6" t="s">
        <v>272</v>
      </c>
      <c r="B128" s="10" t="s">
        <v>272</v>
      </c>
      <c r="C128" s="10" t="s">
        <v>273</v>
      </c>
      <c r="D128" s="6" t="s">
        <v>273</v>
      </c>
      <c r="E128" s="7"/>
      <c r="F128" s="7"/>
      <c r="G128" s="7">
        <v>50</v>
      </c>
      <c r="H128" s="7">
        <v>91</v>
      </c>
      <c r="I128" s="1">
        <v>63.502879999999998</v>
      </c>
      <c r="J128" s="1">
        <v>81.646559999999994</v>
      </c>
      <c r="K128" s="1"/>
      <c r="L128" s="1"/>
      <c r="M128" s="1">
        <v>54.431040000000003</v>
      </c>
      <c r="N128" s="1">
        <v>63.502879999999998</v>
      </c>
      <c r="O128" s="1"/>
      <c r="P128" s="1"/>
      <c r="Q128" s="12">
        <v>65.770840000000007</v>
      </c>
      <c r="R128" s="1">
        <v>72.574719999999999</v>
      </c>
      <c r="S128" s="1">
        <v>58.96696</v>
      </c>
      <c r="T128" s="1">
        <v>70.5</v>
      </c>
      <c r="U128" s="1"/>
      <c r="V128" s="1"/>
      <c r="W128" s="1">
        <f>AVERAGE(X128:Y128)</f>
        <v>70.5</v>
      </c>
      <c r="X128" s="1">
        <v>70.5</v>
      </c>
      <c r="Y128" s="1"/>
      <c r="Z128" s="1"/>
      <c r="AA128" s="1">
        <v>59</v>
      </c>
      <c r="AB128" s="1"/>
      <c r="AC128" s="1">
        <v>65.2</v>
      </c>
      <c r="AD128" s="1">
        <v>68.040000000000006</v>
      </c>
      <c r="AE128" s="1">
        <f t="shared" si="56"/>
        <v>67.347226666666671</v>
      </c>
      <c r="AF128" s="1">
        <f t="shared" si="67"/>
        <v>65.685000000000002</v>
      </c>
      <c r="AG128" s="1">
        <f t="shared" si="57"/>
        <v>66.516113333333337</v>
      </c>
      <c r="AH128" s="1">
        <v>8</v>
      </c>
      <c r="AI128" s="1">
        <v>10</v>
      </c>
      <c r="AJ128" s="1">
        <v>8</v>
      </c>
      <c r="AK128" s="1">
        <v>9</v>
      </c>
      <c r="AL128" s="1">
        <v>9</v>
      </c>
      <c r="AM128" s="1">
        <v>8.5</v>
      </c>
      <c r="AN128" s="1"/>
      <c r="AO128" s="1"/>
      <c r="AP128" s="1">
        <v>4.0999999999999996</v>
      </c>
      <c r="AQ128" s="1">
        <f t="shared" si="58"/>
        <v>8.75</v>
      </c>
      <c r="AR128" s="1">
        <f>AVERAGE(AN128:AP128)</f>
        <v>4.0999999999999996</v>
      </c>
      <c r="AS128" s="12">
        <f t="shared" si="59"/>
        <v>6.4249999999999998</v>
      </c>
      <c r="AT128" s="1"/>
      <c r="AU128" s="1"/>
      <c r="AV128" s="1"/>
      <c r="AW128" s="1"/>
      <c r="AX128" s="1"/>
      <c r="AY128" s="1"/>
      <c r="AZ128" s="1">
        <v>6.8</v>
      </c>
      <c r="BA128" s="1"/>
      <c r="BB128" s="1"/>
      <c r="BC128" s="1"/>
      <c r="BD128" s="1"/>
      <c r="BE128" s="1">
        <v>12</v>
      </c>
      <c r="BF128" s="1"/>
      <c r="BG128" s="1"/>
      <c r="BH128" s="1"/>
      <c r="BI128" s="1"/>
      <c r="BJ128" s="1"/>
      <c r="BK128" s="1"/>
      <c r="BL128" s="1"/>
      <c r="BM128" s="1">
        <f t="shared" si="66"/>
        <v>9.4</v>
      </c>
      <c r="BN128" s="12">
        <f t="shared" si="65"/>
        <v>9.4</v>
      </c>
      <c r="BO128" s="1"/>
      <c r="BP128" s="1"/>
      <c r="BQ128" s="1"/>
      <c r="BR128" s="1">
        <v>566</v>
      </c>
      <c r="BS128" s="1"/>
      <c r="BT128" s="1">
        <v>370</v>
      </c>
      <c r="BU128" s="1"/>
      <c r="BV128" s="1">
        <v>566</v>
      </c>
      <c r="BW128" s="1"/>
      <c r="BX128" s="1"/>
      <c r="BY128" s="1">
        <f>AVERAGE(BR128:BU128)</f>
        <v>468</v>
      </c>
      <c r="BZ128" s="1">
        <f>BY128/1000</f>
        <v>0.46800000000000003</v>
      </c>
      <c r="CA128" s="1">
        <f>AVERAGE(BQ128:BU128)</f>
        <v>468</v>
      </c>
      <c r="CB128" s="12">
        <f>CA128/1000</f>
        <v>0.46800000000000003</v>
      </c>
      <c r="CC128" s="13">
        <f t="shared" si="63"/>
        <v>4.3992000000000004</v>
      </c>
      <c r="CD128" s="6">
        <v>13.2</v>
      </c>
      <c r="CE128" s="6"/>
      <c r="CF128" s="6">
        <f>AVERAGE(CD128:CE128)</f>
        <v>13.2</v>
      </c>
      <c r="CG128" s="6">
        <v>56.7</v>
      </c>
      <c r="CH128" s="6"/>
      <c r="CI128" s="6">
        <v>56.7</v>
      </c>
      <c r="CJ128" s="13">
        <f>((Q128-CB128)/CB128)*100</f>
        <v>13953.598290598291</v>
      </c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</row>
    <row r="129" spans="1:160" x14ac:dyDescent="0.3">
      <c r="A129" s="6" t="s">
        <v>274</v>
      </c>
      <c r="B129" s="10" t="s">
        <v>274</v>
      </c>
      <c r="C129" s="10" t="s">
        <v>275</v>
      </c>
      <c r="D129" s="6" t="s">
        <v>275</v>
      </c>
      <c r="E129" s="7">
        <v>9.0718399999999999</v>
      </c>
      <c r="F129" s="7">
        <v>15.875719999999999</v>
      </c>
      <c r="G129" s="7">
        <v>11.5</v>
      </c>
      <c r="H129" s="7">
        <v>16</v>
      </c>
      <c r="I129" s="1"/>
      <c r="J129" s="1"/>
      <c r="K129" s="1"/>
      <c r="L129" s="1"/>
      <c r="M129" s="1"/>
      <c r="N129" s="1"/>
      <c r="O129" s="1"/>
      <c r="P129" s="1"/>
      <c r="Q129" s="12">
        <v>12.47378</v>
      </c>
      <c r="R129" s="1"/>
      <c r="S129" s="1"/>
      <c r="T129" s="1">
        <v>13.75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>
        <f t="shared" si="56"/>
        <v>13.111889999999999</v>
      </c>
      <c r="AF129" s="1"/>
      <c r="AG129" s="1">
        <f t="shared" si="57"/>
        <v>13.111889999999999</v>
      </c>
      <c r="AH129" s="1">
        <v>12</v>
      </c>
      <c r="AI129" s="1">
        <v>15</v>
      </c>
      <c r="AJ129" s="1">
        <v>12</v>
      </c>
      <c r="AK129" s="1">
        <v>14</v>
      </c>
      <c r="AL129" s="1">
        <v>13.5</v>
      </c>
      <c r="AM129" s="1">
        <v>13</v>
      </c>
      <c r="AN129" s="1"/>
      <c r="AO129" s="1"/>
      <c r="AP129" s="1"/>
      <c r="AQ129" s="1">
        <f t="shared" si="58"/>
        <v>13.25</v>
      </c>
      <c r="AR129" s="1"/>
      <c r="AS129" s="12">
        <f t="shared" si="59"/>
        <v>13.25</v>
      </c>
      <c r="AT129" s="1"/>
      <c r="AU129" s="1"/>
      <c r="AV129" s="1"/>
      <c r="AW129" s="1"/>
      <c r="AX129" s="1"/>
      <c r="AY129" s="1"/>
      <c r="AZ129" s="1">
        <v>5</v>
      </c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>
        <f t="shared" si="66"/>
        <v>5</v>
      </c>
      <c r="BN129" s="12">
        <f t="shared" si="65"/>
        <v>5</v>
      </c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2"/>
      <c r="CC129" s="13">
        <f t="shared" si="63"/>
        <v>0</v>
      </c>
      <c r="CD129" s="6"/>
      <c r="CE129" s="6"/>
      <c r="CF129" s="6"/>
      <c r="CG129" s="6"/>
      <c r="CH129" s="6"/>
      <c r="CI129" s="6"/>
      <c r="CJ129" s="13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</row>
    <row r="130" spans="1:160" x14ac:dyDescent="0.3">
      <c r="A130" s="6" t="s">
        <v>276</v>
      </c>
      <c r="B130" s="10" t="s">
        <v>276</v>
      </c>
      <c r="C130" s="10" t="s">
        <v>277</v>
      </c>
      <c r="D130" s="6" t="s">
        <v>277</v>
      </c>
      <c r="E130" s="7"/>
      <c r="F130" s="7"/>
      <c r="G130" s="7"/>
      <c r="H130" s="7"/>
      <c r="I130" s="1">
        <v>40.823279999999997</v>
      </c>
      <c r="J130" s="1">
        <v>68.038799999999995</v>
      </c>
      <c r="K130" s="1">
        <v>45</v>
      </c>
      <c r="L130" s="1">
        <v>72.5</v>
      </c>
      <c r="M130" s="1">
        <v>31.751439999999999</v>
      </c>
      <c r="N130" s="1">
        <v>54.431040000000003</v>
      </c>
      <c r="O130" s="1">
        <v>34</v>
      </c>
      <c r="P130" s="1">
        <v>54.5</v>
      </c>
      <c r="Q130" s="12">
        <v>48.761139999999997</v>
      </c>
      <c r="R130" s="1">
        <v>54.431040000000003</v>
      </c>
      <c r="S130" s="1">
        <v>43.091239999999999</v>
      </c>
      <c r="T130" s="1">
        <v>51.5</v>
      </c>
      <c r="U130" s="1">
        <v>58.75</v>
      </c>
      <c r="V130" s="1">
        <v>44.25</v>
      </c>
      <c r="W130" s="1">
        <f>AVERAGE(X130:Y130)</f>
        <v>67.900000000000006</v>
      </c>
      <c r="X130" s="1">
        <v>67.900000000000006</v>
      </c>
      <c r="Y130" s="1"/>
      <c r="Z130" s="1"/>
      <c r="AA130" s="1"/>
      <c r="AB130" s="1"/>
      <c r="AC130" s="1"/>
      <c r="AD130" s="1"/>
      <c r="AE130" s="1">
        <f t="shared" si="56"/>
        <v>50.130569999999999</v>
      </c>
      <c r="AF130" s="1">
        <f>AVERAGE(X130:AD130)</f>
        <v>67.900000000000006</v>
      </c>
      <c r="AG130" s="1">
        <f t="shared" si="57"/>
        <v>59.015285000000006</v>
      </c>
      <c r="AH130" s="1">
        <v>10</v>
      </c>
      <c r="AI130" s="1">
        <v>12</v>
      </c>
      <c r="AJ130" s="1">
        <v>10</v>
      </c>
      <c r="AK130" s="1"/>
      <c r="AL130" s="1">
        <v>11</v>
      </c>
      <c r="AM130" s="1">
        <v>10</v>
      </c>
      <c r="AN130" s="1"/>
      <c r="AO130" s="1"/>
      <c r="AP130" s="1"/>
      <c r="AQ130" s="1">
        <f t="shared" si="58"/>
        <v>10.666666666666666</v>
      </c>
      <c r="AR130" s="1"/>
      <c r="AS130" s="12">
        <f t="shared" si="59"/>
        <v>10.666666666666666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>
        <v>7</v>
      </c>
      <c r="BF130" s="1"/>
      <c r="BG130" s="1"/>
      <c r="BH130" s="1"/>
      <c r="BI130" s="1"/>
      <c r="BJ130" s="1"/>
      <c r="BK130" s="1"/>
      <c r="BL130" s="1"/>
      <c r="BM130" s="1">
        <f t="shared" si="66"/>
        <v>7</v>
      </c>
      <c r="BN130" s="12">
        <f t="shared" si="65"/>
        <v>7</v>
      </c>
      <c r="BO130" s="1"/>
      <c r="BP130" s="1"/>
      <c r="BQ130" s="1"/>
      <c r="BR130" s="1">
        <v>510</v>
      </c>
      <c r="BS130" s="1"/>
      <c r="BT130" s="1">
        <v>450</v>
      </c>
      <c r="BU130" s="1"/>
      <c r="BV130" s="1">
        <v>510</v>
      </c>
      <c r="BW130" s="1"/>
      <c r="BX130" s="1"/>
      <c r="BY130" s="1">
        <f>AVERAGE(BR130:BU130)</f>
        <v>480</v>
      </c>
      <c r="BZ130" s="1">
        <f>BY130/1000</f>
        <v>0.48</v>
      </c>
      <c r="CA130" s="1">
        <f>AVERAGE(BQ130:BU130)</f>
        <v>480</v>
      </c>
      <c r="CB130" s="12">
        <f>CA130/1000</f>
        <v>0.48</v>
      </c>
      <c r="CC130" s="13">
        <f t="shared" si="63"/>
        <v>3.36</v>
      </c>
      <c r="CD130" s="6"/>
      <c r="CE130" s="6"/>
      <c r="CF130" s="6"/>
      <c r="CG130" s="6"/>
      <c r="CH130" s="6"/>
      <c r="CI130" s="6"/>
      <c r="CJ130" s="13">
        <f>((Q130-CB130)/CB130)*100</f>
        <v>10058.570833333335</v>
      </c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</row>
    <row r="131" spans="1:160" x14ac:dyDescent="0.3">
      <c r="A131" s="6" t="s">
        <v>278</v>
      </c>
      <c r="B131" s="10" t="s">
        <v>278</v>
      </c>
      <c r="C131" s="10" t="s">
        <v>279</v>
      </c>
      <c r="D131" s="6" t="s">
        <v>279</v>
      </c>
      <c r="E131" s="7">
        <v>4.0823280000000004</v>
      </c>
      <c r="F131" s="7">
        <v>6.8038800000000004</v>
      </c>
      <c r="G131" s="7">
        <v>4</v>
      </c>
      <c r="H131" s="7">
        <v>7</v>
      </c>
      <c r="I131" s="1"/>
      <c r="J131" s="1"/>
      <c r="K131" s="1"/>
      <c r="L131" s="1"/>
      <c r="M131" s="1"/>
      <c r="N131" s="1"/>
      <c r="O131" s="1"/>
      <c r="P131" s="1"/>
      <c r="Q131" s="12">
        <v>5.4431039999999999</v>
      </c>
      <c r="R131" s="1"/>
      <c r="S131" s="1"/>
      <c r="T131" s="1">
        <v>5.5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>
        <f t="shared" si="56"/>
        <v>5.471552</v>
      </c>
      <c r="AF131" s="1"/>
      <c r="AG131" s="1">
        <f t="shared" si="57"/>
        <v>5.471552</v>
      </c>
      <c r="AH131" s="1">
        <v>12</v>
      </c>
      <c r="AI131" s="1">
        <v>15</v>
      </c>
      <c r="AJ131" s="1">
        <v>13</v>
      </c>
      <c r="AK131" s="1">
        <v>15</v>
      </c>
      <c r="AL131" s="1">
        <v>13.5</v>
      </c>
      <c r="AM131" s="1">
        <v>14</v>
      </c>
      <c r="AN131" s="1"/>
      <c r="AO131" s="1"/>
      <c r="AP131" s="1"/>
      <c r="AQ131" s="1">
        <f t="shared" si="58"/>
        <v>13.75</v>
      </c>
      <c r="AR131" s="1"/>
      <c r="AS131" s="12">
        <f t="shared" si="59"/>
        <v>13.75</v>
      </c>
      <c r="AT131" s="1"/>
      <c r="AU131" s="1"/>
      <c r="AV131" s="1"/>
      <c r="AW131" s="1"/>
      <c r="AX131" s="1"/>
      <c r="AY131" s="1"/>
      <c r="AZ131" s="1">
        <v>3.8</v>
      </c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>
        <f t="shared" si="66"/>
        <v>3.8</v>
      </c>
      <c r="BN131" s="12">
        <f t="shared" si="65"/>
        <v>3.8</v>
      </c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2"/>
      <c r="CC131" s="13">
        <f t="shared" si="63"/>
        <v>0</v>
      </c>
      <c r="CD131" s="6"/>
      <c r="CE131" s="6"/>
      <c r="CF131" s="6"/>
      <c r="CG131" s="6"/>
      <c r="CH131" s="6"/>
      <c r="CI131" s="6"/>
      <c r="CJ131" s="13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</row>
    <row r="132" spans="1:160" x14ac:dyDescent="0.3">
      <c r="A132" s="6" t="s">
        <v>280</v>
      </c>
      <c r="B132" s="10" t="s">
        <v>280</v>
      </c>
      <c r="C132" s="10" t="s">
        <v>281</v>
      </c>
      <c r="D132" s="6" t="s">
        <v>281</v>
      </c>
      <c r="E132" s="7"/>
      <c r="F132" s="7"/>
      <c r="G132" s="7">
        <v>8</v>
      </c>
      <c r="H132" s="7">
        <v>13.5</v>
      </c>
      <c r="I132" s="1">
        <v>8.1646560000000008</v>
      </c>
      <c r="J132" s="1">
        <v>13.607760000000001</v>
      </c>
      <c r="K132" s="1"/>
      <c r="L132" s="1"/>
      <c r="M132" s="1"/>
      <c r="N132" s="1"/>
      <c r="O132" s="1"/>
      <c r="P132" s="1"/>
      <c r="Q132" s="12">
        <v>10.886208</v>
      </c>
      <c r="R132" s="1">
        <v>10.886208</v>
      </c>
      <c r="S132" s="1"/>
      <c r="T132" s="1">
        <v>10.75</v>
      </c>
      <c r="U132" s="1"/>
      <c r="V132" s="1"/>
      <c r="W132" s="1">
        <f>AVERAGE(X132:Y132)</f>
        <v>10.9</v>
      </c>
      <c r="X132" s="1">
        <v>10.9</v>
      </c>
      <c r="Y132" s="1"/>
      <c r="Z132" s="1"/>
      <c r="AA132" s="1"/>
      <c r="AB132" s="1"/>
      <c r="AC132" s="1"/>
      <c r="AD132" s="1"/>
      <c r="AE132" s="1">
        <f t="shared" si="56"/>
        <v>10.818104</v>
      </c>
      <c r="AF132" s="1">
        <f>AVERAGE(X132:AD132)</f>
        <v>10.9</v>
      </c>
      <c r="AG132" s="1">
        <f t="shared" si="57"/>
        <v>10.859052</v>
      </c>
      <c r="AH132" s="1">
        <v>15</v>
      </c>
      <c r="AI132" s="1">
        <v>16</v>
      </c>
      <c r="AJ132" s="1">
        <v>13</v>
      </c>
      <c r="AK132" s="1">
        <v>15</v>
      </c>
      <c r="AL132" s="1">
        <v>15.5</v>
      </c>
      <c r="AM132" s="1">
        <v>14</v>
      </c>
      <c r="AN132" s="1"/>
      <c r="AO132" s="1"/>
      <c r="AP132" s="1">
        <v>14.3</v>
      </c>
      <c r="AQ132" s="1">
        <f t="shared" si="58"/>
        <v>14.75</v>
      </c>
      <c r="AR132" s="1">
        <f>AVERAGE(AN132:AP132)</f>
        <v>14.3</v>
      </c>
      <c r="AS132" s="12">
        <f t="shared" si="59"/>
        <v>14.525</v>
      </c>
      <c r="AT132" s="1"/>
      <c r="AU132" s="1"/>
      <c r="AV132" s="1"/>
      <c r="AW132" s="1"/>
      <c r="AX132" s="1"/>
      <c r="AY132" s="1"/>
      <c r="AZ132" s="1">
        <v>5.2</v>
      </c>
      <c r="BA132" s="1"/>
      <c r="BB132" s="1"/>
      <c r="BC132" s="1"/>
      <c r="BD132" s="1"/>
      <c r="BE132" s="1">
        <v>2</v>
      </c>
      <c r="BF132" s="1"/>
      <c r="BG132" s="1"/>
      <c r="BH132" s="1"/>
      <c r="BI132" s="1"/>
      <c r="BJ132" s="1"/>
      <c r="BK132" s="1"/>
      <c r="BL132" s="1"/>
      <c r="BM132" s="1">
        <f t="shared" si="66"/>
        <v>3.6</v>
      </c>
      <c r="BN132" s="12">
        <f t="shared" si="65"/>
        <v>3.6</v>
      </c>
      <c r="BO132" s="1"/>
      <c r="BP132" s="1"/>
      <c r="BQ132" s="1"/>
      <c r="BR132" s="1">
        <v>213</v>
      </c>
      <c r="BS132" s="1"/>
      <c r="BT132" s="1">
        <v>217</v>
      </c>
      <c r="BU132" s="1"/>
      <c r="BV132" s="1">
        <v>213</v>
      </c>
      <c r="BW132" s="1"/>
      <c r="BX132" s="1"/>
      <c r="BY132" s="1">
        <f>AVERAGE(BR132:BU132)</f>
        <v>215</v>
      </c>
      <c r="BZ132" s="1">
        <f>BY132/1000</f>
        <v>0.215</v>
      </c>
      <c r="CA132" s="1">
        <f>AVERAGE(BQ132:BU132)</f>
        <v>215</v>
      </c>
      <c r="CB132" s="12">
        <f>CA132/1000</f>
        <v>0.215</v>
      </c>
      <c r="CC132" s="13">
        <f t="shared" si="63"/>
        <v>0.77400000000000002</v>
      </c>
      <c r="CD132" s="6"/>
      <c r="CE132" s="6"/>
      <c r="CF132" s="6"/>
      <c r="CG132" s="6"/>
      <c r="CH132" s="6"/>
      <c r="CI132" s="6"/>
      <c r="CJ132" s="13">
        <f>((Q132-CB132)/CB132)*100</f>
        <v>4963.3525581395343</v>
      </c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</row>
    <row r="133" spans="1:160" x14ac:dyDescent="0.3">
      <c r="A133" s="6" t="s">
        <v>282</v>
      </c>
      <c r="B133" s="10" t="s">
        <v>282</v>
      </c>
      <c r="C133" s="10" t="s">
        <v>283</v>
      </c>
      <c r="D133" s="6" t="s">
        <v>284</v>
      </c>
      <c r="E133" s="7">
        <v>1.814368</v>
      </c>
      <c r="F133" s="7">
        <v>2.721552</v>
      </c>
      <c r="G133" s="7"/>
      <c r="H133" s="7"/>
      <c r="I133" s="1"/>
      <c r="J133" s="1"/>
      <c r="K133" s="1">
        <v>2.5</v>
      </c>
      <c r="L133" s="1">
        <v>4</v>
      </c>
      <c r="M133" s="1"/>
      <c r="N133" s="1"/>
      <c r="O133" s="1">
        <v>2.5</v>
      </c>
      <c r="P133" s="1">
        <v>4</v>
      </c>
      <c r="Q133" s="12">
        <v>2.26796</v>
      </c>
      <c r="R133" s="1"/>
      <c r="S133" s="1"/>
      <c r="T133" s="1">
        <v>3.25</v>
      </c>
      <c r="U133" s="1">
        <v>3.25</v>
      </c>
      <c r="V133" s="1">
        <v>3.25</v>
      </c>
      <c r="W133" s="1"/>
      <c r="X133" s="1"/>
      <c r="Y133" s="1"/>
      <c r="Z133" s="1"/>
      <c r="AA133" s="1">
        <v>4</v>
      </c>
      <c r="AB133" s="1"/>
      <c r="AC133" s="1"/>
      <c r="AD133" s="1">
        <v>4.54</v>
      </c>
      <c r="AE133" s="1">
        <f t="shared" si="56"/>
        <v>2.9226533333333333</v>
      </c>
      <c r="AF133" s="1">
        <f>AVERAGE(X133:AD133)</f>
        <v>4.2699999999999996</v>
      </c>
      <c r="AG133" s="1">
        <f t="shared" si="57"/>
        <v>3.5963266666666662</v>
      </c>
      <c r="AH133" s="1">
        <v>10</v>
      </c>
      <c r="AI133" s="1">
        <v>18</v>
      </c>
      <c r="AJ133" s="1">
        <v>15</v>
      </c>
      <c r="AK133" s="1">
        <v>17</v>
      </c>
      <c r="AL133" s="1">
        <v>14</v>
      </c>
      <c r="AM133" s="1">
        <v>16</v>
      </c>
      <c r="AN133" s="1"/>
      <c r="AO133" s="1"/>
      <c r="AP133" s="1">
        <v>14.4</v>
      </c>
      <c r="AQ133" s="1">
        <f t="shared" si="58"/>
        <v>15</v>
      </c>
      <c r="AR133" s="1">
        <f>AVERAGE(AN133:AP133)</f>
        <v>14.4</v>
      </c>
      <c r="AS133" s="12">
        <f t="shared" si="59"/>
        <v>14.7</v>
      </c>
      <c r="AT133" s="1"/>
      <c r="AU133" s="1"/>
      <c r="AV133" s="1"/>
      <c r="AW133" s="1"/>
      <c r="AX133" s="1"/>
      <c r="AY133" s="1"/>
      <c r="AZ133" s="1">
        <v>2.4</v>
      </c>
      <c r="BA133" s="1"/>
      <c r="BB133" s="1"/>
      <c r="BC133" s="1"/>
      <c r="BD133" s="1"/>
      <c r="BE133" s="1">
        <v>2</v>
      </c>
      <c r="BF133" s="1"/>
      <c r="BG133" s="1"/>
      <c r="BH133" s="1"/>
      <c r="BI133" s="1"/>
      <c r="BJ133" s="1"/>
      <c r="BK133" s="1"/>
      <c r="BL133" s="1"/>
      <c r="BM133" s="1">
        <f t="shared" si="66"/>
        <v>2.2000000000000002</v>
      </c>
      <c r="BN133" s="12">
        <f t="shared" si="65"/>
        <v>2.2000000000000002</v>
      </c>
      <c r="BO133" s="1"/>
      <c r="BP133" s="1"/>
      <c r="BQ133" s="1"/>
      <c r="BR133" s="1"/>
      <c r="BS133" s="1"/>
      <c r="BT133" s="1">
        <v>116.5</v>
      </c>
      <c r="BU133" s="1"/>
      <c r="BV133" s="1"/>
      <c r="BW133" s="1"/>
      <c r="BX133" s="1"/>
      <c r="BY133" s="1">
        <f>AVERAGE(BR133:BU133)</f>
        <v>116.5</v>
      </c>
      <c r="BZ133" s="1">
        <f>BY133/1000</f>
        <v>0.11650000000000001</v>
      </c>
      <c r="CA133" s="1">
        <f>AVERAGE(BQ133:BU133)</f>
        <v>116.5</v>
      </c>
      <c r="CB133" s="12">
        <f>CA133/1000</f>
        <v>0.11650000000000001</v>
      </c>
      <c r="CC133" s="13">
        <f t="shared" si="63"/>
        <v>0.25630000000000003</v>
      </c>
      <c r="CD133" s="6"/>
      <c r="CE133" s="6">
        <v>18.91</v>
      </c>
      <c r="CF133" s="6">
        <f>AVERAGE(CD133:CE133)</f>
        <v>18.91</v>
      </c>
      <c r="CG133" s="6"/>
      <c r="CH133" s="6">
        <v>36</v>
      </c>
      <c r="CI133" s="6">
        <v>36</v>
      </c>
      <c r="CJ133" s="13">
        <f>((Q133-CB133)/CB133)*100</f>
        <v>1846.7467811158799</v>
      </c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</row>
    <row r="134" spans="1:160" x14ac:dyDescent="0.3">
      <c r="A134" s="6" t="s">
        <v>285</v>
      </c>
      <c r="B134" s="10" t="s">
        <v>285</v>
      </c>
      <c r="C134" s="10" t="s">
        <v>286</v>
      </c>
      <c r="D134" s="6" t="s">
        <v>287</v>
      </c>
      <c r="E134" s="7"/>
      <c r="F134" s="7"/>
      <c r="G134" s="7">
        <v>28</v>
      </c>
      <c r="H134" s="7"/>
      <c r="I134" s="1">
        <v>24.947559999999999</v>
      </c>
      <c r="J134" s="1">
        <v>34.019399999999997</v>
      </c>
      <c r="K134" s="1"/>
      <c r="L134" s="1"/>
      <c r="M134" s="1">
        <v>20.411639999999998</v>
      </c>
      <c r="N134" s="1">
        <v>27.215520000000001</v>
      </c>
      <c r="O134" s="1"/>
      <c r="P134" s="1"/>
      <c r="Q134" s="12">
        <v>26.648530000000001</v>
      </c>
      <c r="R134" s="1">
        <v>29.48348</v>
      </c>
      <c r="S134" s="1">
        <v>23.813580000000002</v>
      </c>
      <c r="T134" s="1">
        <v>28</v>
      </c>
      <c r="U134" s="1"/>
      <c r="V134" s="1"/>
      <c r="W134" s="1"/>
      <c r="X134" s="1"/>
      <c r="Y134" s="1"/>
      <c r="Z134" s="1"/>
      <c r="AA134" s="1"/>
      <c r="AB134" s="1">
        <v>23.87</v>
      </c>
      <c r="AC134" s="1"/>
      <c r="AD134" s="1"/>
      <c r="AE134" s="1">
        <f t="shared" si="56"/>
        <v>26.918824000000001</v>
      </c>
      <c r="AF134" s="1">
        <f>AVERAGE(X134:AD134)</f>
        <v>23.87</v>
      </c>
      <c r="AG134" s="1">
        <f t="shared" si="57"/>
        <v>25.394412000000003</v>
      </c>
      <c r="AH134" s="1">
        <v>12</v>
      </c>
      <c r="AI134" s="1">
        <v>14</v>
      </c>
      <c r="AJ134" s="1">
        <v>12</v>
      </c>
      <c r="AK134" s="1">
        <v>14</v>
      </c>
      <c r="AL134" s="1">
        <v>13</v>
      </c>
      <c r="AM134" s="1">
        <v>13</v>
      </c>
      <c r="AN134" s="1"/>
      <c r="AO134" s="1"/>
      <c r="AP134" s="1"/>
      <c r="AQ134" s="1">
        <f t="shared" si="58"/>
        <v>13</v>
      </c>
      <c r="AR134" s="1"/>
      <c r="AS134" s="12">
        <f t="shared" si="59"/>
        <v>13</v>
      </c>
      <c r="AT134" s="1"/>
      <c r="AU134" s="1"/>
      <c r="AV134" s="1"/>
      <c r="AW134" s="1"/>
      <c r="AX134" s="1"/>
      <c r="AY134" s="1"/>
      <c r="AZ134" s="1">
        <v>6.2</v>
      </c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>
        <f t="shared" si="66"/>
        <v>6.2</v>
      </c>
      <c r="BN134" s="12">
        <f t="shared" si="65"/>
        <v>6.2</v>
      </c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2"/>
      <c r="CC134" s="13">
        <f t="shared" si="63"/>
        <v>0</v>
      </c>
      <c r="CD134" s="6"/>
      <c r="CE134" s="6"/>
      <c r="CF134" s="6"/>
      <c r="CG134" s="6"/>
      <c r="CH134" s="6"/>
      <c r="CI134" s="6"/>
      <c r="CJ134" s="13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</row>
    <row r="135" spans="1:160" x14ac:dyDescent="0.3">
      <c r="A135" s="6" t="s">
        <v>288</v>
      </c>
      <c r="B135" s="10" t="s">
        <v>288</v>
      </c>
      <c r="C135" s="10" t="s">
        <v>289</v>
      </c>
      <c r="D135" s="6" t="s">
        <v>290</v>
      </c>
      <c r="E135" s="7"/>
      <c r="F135" s="7"/>
      <c r="G135" s="7"/>
      <c r="H135" s="7"/>
      <c r="I135" s="1">
        <v>24.947559999999999</v>
      </c>
      <c r="J135" s="1">
        <v>29.48348</v>
      </c>
      <c r="K135" s="1">
        <v>20.5</v>
      </c>
      <c r="L135" s="1">
        <v>27</v>
      </c>
      <c r="M135" s="1">
        <v>20.411639999999998</v>
      </c>
      <c r="N135" s="1">
        <v>24.947559999999999</v>
      </c>
      <c r="O135" s="1">
        <v>18</v>
      </c>
      <c r="P135" s="1">
        <v>25</v>
      </c>
      <c r="Q135" s="12">
        <v>24.947559999999999</v>
      </c>
      <c r="R135" s="1">
        <v>27.215520000000001</v>
      </c>
      <c r="S135" s="1">
        <v>22.679600000000001</v>
      </c>
      <c r="T135" s="1">
        <v>22.625</v>
      </c>
      <c r="U135" s="1">
        <v>23.75</v>
      </c>
      <c r="V135" s="1">
        <v>21.5</v>
      </c>
      <c r="W135" s="1">
        <f>AVERAGE(X135:Y135)</f>
        <v>23.5</v>
      </c>
      <c r="X135" s="1">
        <v>23.5</v>
      </c>
      <c r="Y135" s="1"/>
      <c r="Z135" s="1"/>
      <c r="AA135" s="1">
        <v>21</v>
      </c>
      <c r="AB135" s="1"/>
      <c r="AC135" s="1"/>
      <c r="AD135" s="1">
        <v>25.17</v>
      </c>
      <c r="AE135" s="1">
        <f t="shared" si="56"/>
        <v>23.786280000000001</v>
      </c>
      <c r="AF135" s="1">
        <f>AVERAGE(X135:AD135)</f>
        <v>23.223333333333333</v>
      </c>
      <c r="AG135" s="1">
        <f t="shared" si="57"/>
        <v>23.504806666666667</v>
      </c>
      <c r="AH135" s="1">
        <v>12</v>
      </c>
      <c r="AI135" s="1">
        <v>14</v>
      </c>
      <c r="AJ135" s="1">
        <v>12</v>
      </c>
      <c r="AK135" s="1">
        <v>14</v>
      </c>
      <c r="AL135" s="1">
        <v>13</v>
      </c>
      <c r="AM135" s="1">
        <v>13</v>
      </c>
      <c r="AN135" s="1"/>
      <c r="AO135" s="1"/>
      <c r="AP135" s="1">
        <v>12.5</v>
      </c>
      <c r="AQ135" s="1">
        <f t="shared" si="58"/>
        <v>13</v>
      </c>
      <c r="AR135" s="1">
        <f>AVERAGE(AN135:AP135)</f>
        <v>12.5</v>
      </c>
      <c r="AS135" s="12">
        <f t="shared" si="59"/>
        <v>12.75</v>
      </c>
      <c r="AT135" s="1"/>
      <c r="AU135" s="1"/>
      <c r="AV135" s="1"/>
      <c r="AW135" s="1"/>
      <c r="AX135" s="1"/>
      <c r="AY135" s="1"/>
      <c r="AZ135" s="1">
        <v>5</v>
      </c>
      <c r="BA135" s="1"/>
      <c r="BB135" s="1"/>
      <c r="BC135" s="1"/>
      <c r="BD135" s="1"/>
      <c r="BE135" s="1">
        <v>6</v>
      </c>
      <c r="BF135" s="1"/>
      <c r="BG135" s="1"/>
      <c r="BH135" s="1"/>
      <c r="BI135" s="1"/>
      <c r="BJ135" s="1"/>
      <c r="BK135" s="1"/>
      <c r="BL135" s="1"/>
      <c r="BM135" s="1">
        <f t="shared" si="66"/>
        <v>5.5</v>
      </c>
      <c r="BN135" s="12">
        <f t="shared" si="65"/>
        <v>5.5</v>
      </c>
      <c r="BO135" s="1"/>
      <c r="BP135" s="1"/>
      <c r="BQ135" s="1"/>
      <c r="BR135" s="1">
        <v>482</v>
      </c>
      <c r="BS135" s="1"/>
      <c r="BT135" s="1">
        <v>400</v>
      </c>
      <c r="BU135" s="1"/>
      <c r="BV135" s="1">
        <v>482</v>
      </c>
      <c r="BW135" s="1"/>
      <c r="BX135" s="1"/>
      <c r="BY135" s="1">
        <f t="shared" ref="BY135:BY141" si="68">AVERAGE(BR135:BU135)</f>
        <v>441</v>
      </c>
      <c r="BZ135" s="1">
        <f t="shared" ref="BZ135:BZ141" si="69">BY135/1000</f>
        <v>0.441</v>
      </c>
      <c r="CA135" s="1">
        <f t="shared" ref="CA135:CA141" si="70">AVERAGE(BQ135:BU135)</f>
        <v>441</v>
      </c>
      <c r="CB135" s="12">
        <f t="shared" ref="CB135:CB141" si="71">CA135/1000</f>
        <v>0.441</v>
      </c>
      <c r="CC135" s="13">
        <f t="shared" si="63"/>
        <v>2.4255</v>
      </c>
      <c r="CD135" s="6"/>
      <c r="CE135" s="6"/>
      <c r="CF135" s="6"/>
      <c r="CG135" s="6"/>
      <c r="CH135" s="6"/>
      <c r="CI135" s="6"/>
      <c r="CJ135" s="13">
        <f>((Q135-CB135)/CB135)*100</f>
        <v>5557.0430839002274</v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</row>
    <row r="136" spans="1:160" x14ac:dyDescent="0.3">
      <c r="A136" s="6" t="s">
        <v>291</v>
      </c>
      <c r="B136" s="10" t="s">
        <v>291</v>
      </c>
      <c r="C136" s="10" t="s">
        <v>292</v>
      </c>
      <c r="D136" s="6" t="s">
        <v>292</v>
      </c>
      <c r="E136" s="7"/>
      <c r="F136" s="7"/>
      <c r="G136" s="7"/>
      <c r="H136" s="7"/>
      <c r="I136" s="1"/>
      <c r="J136" s="1"/>
      <c r="K136" s="1"/>
      <c r="L136" s="1"/>
      <c r="M136" s="1"/>
      <c r="N136" s="1"/>
      <c r="O136" s="1"/>
      <c r="P136" s="1"/>
      <c r="Q136" s="1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2"/>
      <c r="AT136" s="1"/>
      <c r="AU136" s="1"/>
      <c r="AV136" s="1"/>
      <c r="AW136" s="1"/>
      <c r="AX136" s="1"/>
      <c r="AY136" s="1"/>
      <c r="AZ136" s="1">
        <v>3.3</v>
      </c>
      <c r="BA136" s="1"/>
      <c r="BB136" s="1"/>
      <c r="BC136" s="1"/>
      <c r="BD136" s="1"/>
      <c r="BE136" s="1">
        <v>4</v>
      </c>
      <c r="BF136" s="1"/>
      <c r="BG136" s="1"/>
      <c r="BH136" s="1"/>
      <c r="BI136" s="1"/>
      <c r="BJ136" s="1"/>
      <c r="BK136" s="1"/>
      <c r="BL136" s="1"/>
      <c r="BM136" s="1">
        <f t="shared" si="66"/>
        <v>3.65</v>
      </c>
      <c r="BN136" s="12">
        <f t="shared" si="65"/>
        <v>3.65</v>
      </c>
      <c r="BO136" s="1"/>
      <c r="BP136" s="1"/>
      <c r="BQ136" s="1"/>
      <c r="BR136" s="1"/>
      <c r="BS136" s="1"/>
      <c r="BT136" s="1">
        <v>132.5</v>
      </c>
      <c r="BU136" s="1"/>
      <c r="BV136" s="1"/>
      <c r="BW136" s="1"/>
      <c r="BX136" s="1"/>
      <c r="BY136" s="1">
        <f t="shared" si="68"/>
        <v>132.5</v>
      </c>
      <c r="BZ136" s="1">
        <f t="shared" si="69"/>
        <v>0.13250000000000001</v>
      </c>
      <c r="CA136" s="1">
        <f t="shared" si="70"/>
        <v>132.5</v>
      </c>
      <c r="CB136" s="12">
        <f t="shared" si="71"/>
        <v>0.13250000000000001</v>
      </c>
      <c r="CC136" s="13">
        <f t="shared" si="63"/>
        <v>0.48362500000000003</v>
      </c>
      <c r="CD136" s="6"/>
      <c r="CE136" s="6"/>
      <c r="CF136" s="6"/>
      <c r="CG136" s="6"/>
      <c r="CH136" s="6"/>
      <c r="CI136" s="6"/>
      <c r="CJ136" s="13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</row>
    <row r="137" spans="1:160" x14ac:dyDescent="0.3">
      <c r="A137" s="6" t="s">
        <v>293</v>
      </c>
      <c r="B137" s="10" t="s">
        <v>293</v>
      </c>
      <c r="C137" s="10" t="s">
        <v>294</v>
      </c>
      <c r="D137" s="6" t="s">
        <v>294</v>
      </c>
      <c r="E137" s="7"/>
      <c r="F137" s="7"/>
      <c r="G137" s="7"/>
      <c r="H137" s="7"/>
      <c r="I137" s="1">
        <v>31.751439999999999</v>
      </c>
      <c r="J137" s="1">
        <v>40.823279999999997</v>
      </c>
      <c r="K137" s="1">
        <v>34.1</v>
      </c>
      <c r="L137" s="1">
        <v>40</v>
      </c>
      <c r="M137" s="1">
        <v>24.947559999999999</v>
      </c>
      <c r="N137" s="1">
        <v>34.019399999999997</v>
      </c>
      <c r="O137" s="1">
        <v>31.8</v>
      </c>
      <c r="P137" s="1">
        <v>36.4</v>
      </c>
      <c r="Q137" s="12">
        <v>32.885420000000003</v>
      </c>
      <c r="R137" s="1">
        <v>36.28736</v>
      </c>
      <c r="S137" s="1">
        <v>29.48348</v>
      </c>
      <c r="T137" s="1">
        <v>35.575000000000003</v>
      </c>
      <c r="U137" s="1">
        <v>37.049999999999997</v>
      </c>
      <c r="V137" s="1">
        <v>34.1</v>
      </c>
      <c r="W137" s="1"/>
      <c r="X137" s="1"/>
      <c r="Y137" s="1"/>
      <c r="Z137" s="1"/>
      <c r="AA137" s="1">
        <v>28</v>
      </c>
      <c r="AB137" s="1"/>
      <c r="AC137" s="1"/>
      <c r="AD137" s="1">
        <v>22.68</v>
      </c>
      <c r="AE137" s="1">
        <f t="shared" ref="AE137:AE145" si="72">AVERAGE(E137:P137)</f>
        <v>34.23021</v>
      </c>
      <c r="AF137" s="1">
        <f t="shared" ref="AF137:AF142" si="73">AVERAGE(X137:AD137)</f>
        <v>25.34</v>
      </c>
      <c r="AG137" s="1">
        <f t="shared" ref="AG137:AG145" si="74">AVERAGE(AE137:AF137)</f>
        <v>29.785105000000001</v>
      </c>
      <c r="AH137" s="1">
        <v>10</v>
      </c>
      <c r="AI137" s="1">
        <v>13</v>
      </c>
      <c r="AJ137" s="1">
        <v>10</v>
      </c>
      <c r="AK137" s="1">
        <v>14</v>
      </c>
      <c r="AL137" s="1">
        <v>11.5</v>
      </c>
      <c r="AM137" s="1">
        <v>12</v>
      </c>
      <c r="AN137" s="1"/>
      <c r="AO137" s="1">
        <v>12.6</v>
      </c>
      <c r="AP137" s="1">
        <v>10</v>
      </c>
      <c r="AQ137" s="1">
        <f t="shared" ref="AQ137:AQ145" si="75">AVERAGE(AH137:AK137)</f>
        <v>11.75</v>
      </c>
      <c r="AR137" s="1">
        <f>AVERAGE(AN137:AP137)</f>
        <v>11.3</v>
      </c>
      <c r="AS137" s="12">
        <f t="shared" ref="AS137:AS145" si="76">AVERAGE(AN137:AQ137)</f>
        <v>11.450000000000001</v>
      </c>
      <c r="AT137" s="1"/>
      <c r="AU137" s="1"/>
      <c r="AV137" s="1"/>
      <c r="AW137" s="1"/>
      <c r="AX137" s="1"/>
      <c r="AY137" s="1"/>
      <c r="AZ137" s="1">
        <v>8.8000000000000007</v>
      </c>
      <c r="BA137" s="1"/>
      <c r="BB137" s="1"/>
      <c r="BC137" s="1"/>
      <c r="BD137" s="1"/>
      <c r="BE137" s="1">
        <v>6.5</v>
      </c>
      <c r="BF137" s="1"/>
      <c r="BG137" s="1"/>
      <c r="BH137" s="1"/>
      <c r="BI137" s="1"/>
      <c r="BJ137" s="1"/>
      <c r="BK137" s="1"/>
      <c r="BL137" s="1"/>
      <c r="BM137" s="1">
        <f t="shared" si="66"/>
        <v>7.65</v>
      </c>
      <c r="BN137" s="12">
        <f t="shared" si="65"/>
        <v>7.65</v>
      </c>
      <c r="BO137" s="1"/>
      <c r="BP137" s="1"/>
      <c r="BQ137" s="1"/>
      <c r="BR137" s="1"/>
      <c r="BS137" s="1"/>
      <c r="BT137" s="1">
        <v>450</v>
      </c>
      <c r="BU137" s="1"/>
      <c r="BV137" s="1"/>
      <c r="BW137" s="1"/>
      <c r="BX137" s="1"/>
      <c r="BY137" s="1">
        <f t="shared" si="68"/>
        <v>450</v>
      </c>
      <c r="BZ137" s="1">
        <f t="shared" si="69"/>
        <v>0.45</v>
      </c>
      <c r="CA137" s="1">
        <f t="shared" si="70"/>
        <v>450</v>
      </c>
      <c r="CB137" s="12">
        <f t="shared" si="71"/>
        <v>0.45</v>
      </c>
      <c r="CC137" s="13">
        <f t="shared" si="63"/>
        <v>3.4425000000000003</v>
      </c>
      <c r="CD137" s="6"/>
      <c r="CE137" s="6">
        <v>10.26</v>
      </c>
      <c r="CF137" s="6">
        <f>AVERAGE(CD137:CE137)</f>
        <v>10.26</v>
      </c>
      <c r="CG137" s="6"/>
      <c r="CH137" s="6">
        <v>66</v>
      </c>
      <c r="CI137" s="6">
        <v>66</v>
      </c>
      <c r="CJ137" s="13">
        <f>((Q137-CB137)/CB137)*100</f>
        <v>7207.8711111111106</v>
      </c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</row>
    <row r="138" spans="1:160" x14ac:dyDescent="0.3">
      <c r="A138" s="6" t="s">
        <v>295</v>
      </c>
      <c r="B138" s="10" t="s">
        <v>295</v>
      </c>
      <c r="C138" s="10" t="s">
        <v>296</v>
      </c>
      <c r="D138" s="6" t="s">
        <v>296</v>
      </c>
      <c r="E138" s="7"/>
      <c r="F138" s="7"/>
      <c r="G138" s="7"/>
      <c r="H138" s="7"/>
      <c r="I138" s="1"/>
      <c r="J138" s="1"/>
      <c r="K138" s="1">
        <v>8</v>
      </c>
      <c r="L138" s="1"/>
      <c r="M138" s="1">
        <v>6.8038800000000004</v>
      </c>
      <c r="N138" s="1">
        <v>7.7110640000000004</v>
      </c>
      <c r="O138" s="1">
        <v>7</v>
      </c>
      <c r="P138" s="1"/>
      <c r="Q138" s="12">
        <v>7.2574719999999999</v>
      </c>
      <c r="R138" s="1"/>
      <c r="S138" s="1">
        <v>7.2574719999999999</v>
      </c>
      <c r="T138" s="1">
        <v>7.5</v>
      </c>
      <c r="U138" s="1">
        <v>8</v>
      </c>
      <c r="V138" s="1">
        <v>7</v>
      </c>
      <c r="W138" s="1">
        <f>AVERAGE(X138:Y138)</f>
        <v>8</v>
      </c>
      <c r="X138" s="1">
        <v>8</v>
      </c>
      <c r="Y138" s="1"/>
      <c r="Z138" s="1"/>
      <c r="AA138" s="1">
        <v>8</v>
      </c>
      <c r="AB138" s="1"/>
      <c r="AC138" s="1"/>
      <c r="AD138" s="1">
        <v>7.26</v>
      </c>
      <c r="AE138" s="1">
        <f t="shared" si="72"/>
        <v>7.378736</v>
      </c>
      <c r="AF138" s="1">
        <f t="shared" si="73"/>
        <v>7.753333333333333</v>
      </c>
      <c r="AG138" s="1">
        <f t="shared" si="74"/>
        <v>7.5660346666666669</v>
      </c>
      <c r="AH138" s="1">
        <v>12</v>
      </c>
      <c r="AI138" s="1">
        <v>15</v>
      </c>
      <c r="AJ138" s="1">
        <v>13</v>
      </c>
      <c r="AK138" s="1">
        <v>14</v>
      </c>
      <c r="AL138" s="1">
        <v>13.5</v>
      </c>
      <c r="AM138" s="1">
        <v>13.5</v>
      </c>
      <c r="AN138" s="1"/>
      <c r="AO138" s="1"/>
      <c r="AP138" s="1">
        <v>13</v>
      </c>
      <c r="AQ138" s="1">
        <f t="shared" si="75"/>
        <v>13.5</v>
      </c>
      <c r="AR138" s="1">
        <f>AVERAGE(AN138:AP138)</f>
        <v>13</v>
      </c>
      <c r="AS138" s="12">
        <f t="shared" si="76"/>
        <v>13.25</v>
      </c>
      <c r="AT138" s="1"/>
      <c r="AU138" s="1"/>
      <c r="AV138" s="1"/>
      <c r="AW138" s="1"/>
      <c r="AX138" s="1"/>
      <c r="AY138" s="1"/>
      <c r="AZ138" s="1">
        <v>3.5</v>
      </c>
      <c r="BA138" s="1"/>
      <c r="BB138" s="1"/>
      <c r="BC138" s="1"/>
      <c r="BD138" s="1"/>
      <c r="BE138" s="1">
        <v>3</v>
      </c>
      <c r="BF138" s="1"/>
      <c r="BG138" s="1"/>
      <c r="BH138" s="1"/>
      <c r="BI138" s="1"/>
      <c r="BJ138" s="1"/>
      <c r="BK138" s="1"/>
      <c r="BL138" s="1"/>
      <c r="BM138" s="1">
        <f t="shared" si="66"/>
        <v>3.25</v>
      </c>
      <c r="BN138" s="12">
        <f t="shared" si="65"/>
        <v>3.25</v>
      </c>
      <c r="BO138" s="1"/>
      <c r="BP138" s="1"/>
      <c r="BQ138" s="1"/>
      <c r="BR138" s="1">
        <v>213</v>
      </c>
      <c r="BS138" s="1"/>
      <c r="BT138" s="1">
        <v>225</v>
      </c>
      <c r="BU138" s="1"/>
      <c r="BV138" s="1">
        <v>213</v>
      </c>
      <c r="BW138" s="1"/>
      <c r="BX138" s="1"/>
      <c r="BY138" s="1">
        <f t="shared" si="68"/>
        <v>219</v>
      </c>
      <c r="BZ138" s="1">
        <f t="shared" si="69"/>
        <v>0.219</v>
      </c>
      <c r="CA138" s="1">
        <f t="shared" si="70"/>
        <v>219</v>
      </c>
      <c r="CB138" s="12">
        <f t="shared" si="71"/>
        <v>0.219</v>
      </c>
      <c r="CC138" s="13">
        <f t="shared" si="63"/>
        <v>0.71174999999999999</v>
      </c>
      <c r="CD138" s="6"/>
      <c r="CE138" s="6">
        <v>11.72</v>
      </c>
      <c r="CF138" s="6">
        <f>AVERAGE(CD138:CE138)</f>
        <v>11.72</v>
      </c>
      <c r="CG138" s="6"/>
      <c r="CH138" s="6">
        <v>54</v>
      </c>
      <c r="CI138" s="6">
        <v>54</v>
      </c>
      <c r="CJ138" s="13">
        <f>((Q138-CB138)/CB138)*100</f>
        <v>3213.914155251141</v>
      </c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</row>
    <row r="139" spans="1:160" x14ac:dyDescent="0.3">
      <c r="A139" s="6" t="s">
        <v>297</v>
      </c>
      <c r="B139" s="10" t="s">
        <v>297</v>
      </c>
      <c r="C139" s="10" t="s">
        <v>298</v>
      </c>
      <c r="D139" s="6" t="s">
        <v>298</v>
      </c>
      <c r="E139" s="7">
        <v>11.3398</v>
      </c>
      <c r="F139" s="7">
        <v>18.14368</v>
      </c>
      <c r="G139" s="7"/>
      <c r="H139" s="7"/>
      <c r="I139" s="1"/>
      <c r="J139" s="1"/>
      <c r="K139" s="1">
        <v>7.5</v>
      </c>
      <c r="L139" s="1">
        <v>12.5</v>
      </c>
      <c r="M139" s="1"/>
      <c r="N139" s="1"/>
      <c r="O139" s="1">
        <v>6</v>
      </c>
      <c r="P139" s="1">
        <v>11</v>
      </c>
      <c r="Q139" s="12">
        <v>14.74174</v>
      </c>
      <c r="R139" s="1"/>
      <c r="S139" s="1"/>
      <c r="T139" s="1">
        <v>9.25</v>
      </c>
      <c r="U139" s="1">
        <v>10</v>
      </c>
      <c r="V139" s="1">
        <v>8.5</v>
      </c>
      <c r="W139" s="1"/>
      <c r="X139" s="1"/>
      <c r="Y139" s="1"/>
      <c r="Z139" s="1"/>
      <c r="AA139" s="1"/>
      <c r="AB139" s="1">
        <v>9.7200000000000006</v>
      </c>
      <c r="AC139" s="1"/>
      <c r="AD139" s="1"/>
      <c r="AE139" s="1">
        <f t="shared" si="72"/>
        <v>11.080579999999999</v>
      </c>
      <c r="AF139" s="1">
        <f t="shared" si="73"/>
        <v>9.7200000000000006</v>
      </c>
      <c r="AG139" s="1">
        <f t="shared" si="74"/>
        <v>10.40029</v>
      </c>
      <c r="AH139" s="1">
        <v>12</v>
      </c>
      <c r="AI139" s="1">
        <v>15</v>
      </c>
      <c r="AJ139" s="1">
        <v>12</v>
      </c>
      <c r="AK139" s="1">
        <v>14</v>
      </c>
      <c r="AL139" s="1">
        <v>13.5</v>
      </c>
      <c r="AM139" s="1">
        <v>13</v>
      </c>
      <c r="AN139" s="1"/>
      <c r="AO139" s="1"/>
      <c r="AP139" s="1">
        <v>14.3</v>
      </c>
      <c r="AQ139" s="1">
        <f t="shared" si="75"/>
        <v>13.25</v>
      </c>
      <c r="AR139" s="1">
        <f>AVERAGE(AN139:AP139)</f>
        <v>14.3</v>
      </c>
      <c r="AS139" s="12">
        <f t="shared" si="76"/>
        <v>13.775</v>
      </c>
      <c r="AT139" s="1"/>
      <c r="AU139" s="1"/>
      <c r="AV139" s="1"/>
      <c r="AW139" s="1"/>
      <c r="AX139" s="1"/>
      <c r="AY139" s="1"/>
      <c r="AZ139" s="1">
        <v>6.1</v>
      </c>
      <c r="BA139" s="1"/>
      <c r="BB139" s="1"/>
      <c r="BC139" s="1"/>
      <c r="BD139" s="1"/>
      <c r="BE139" s="1">
        <v>6.5</v>
      </c>
      <c r="BF139" s="1"/>
      <c r="BG139" s="1"/>
      <c r="BH139" s="1"/>
      <c r="BI139" s="1"/>
      <c r="BJ139" s="1"/>
      <c r="BK139" s="1"/>
      <c r="BL139" s="1"/>
      <c r="BM139" s="1">
        <f t="shared" si="66"/>
        <v>6.3</v>
      </c>
      <c r="BN139" s="12">
        <f t="shared" si="65"/>
        <v>6.3</v>
      </c>
      <c r="BO139" s="1"/>
      <c r="BP139" s="1"/>
      <c r="BQ139" s="1"/>
      <c r="BR139" s="1"/>
      <c r="BS139" s="1"/>
      <c r="BT139" s="1">
        <v>352</v>
      </c>
      <c r="BU139" s="1"/>
      <c r="BV139" s="1"/>
      <c r="BW139" s="1"/>
      <c r="BX139" s="1"/>
      <c r="BY139" s="1">
        <f t="shared" si="68"/>
        <v>352</v>
      </c>
      <c r="BZ139" s="1">
        <f t="shared" si="69"/>
        <v>0.35199999999999998</v>
      </c>
      <c r="CA139" s="1">
        <f t="shared" si="70"/>
        <v>352</v>
      </c>
      <c r="CB139" s="12">
        <f t="shared" si="71"/>
        <v>0.35199999999999998</v>
      </c>
      <c r="CC139" s="13">
        <f t="shared" si="63"/>
        <v>2.2176</v>
      </c>
      <c r="CD139" s="6"/>
      <c r="CE139" s="6"/>
      <c r="CF139" s="6"/>
      <c r="CG139" s="6"/>
      <c r="CH139" s="6"/>
      <c r="CI139" s="6"/>
      <c r="CJ139" s="13">
        <f>((Q139-CB139)/CB139)*100</f>
        <v>4087.9943181818185</v>
      </c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</row>
    <row r="140" spans="1:160" x14ac:dyDescent="0.3">
      <c r="A140" s="6" t="s">
        <v>299</v>
      </c>
      <c r="B140" s="10" t="s">
        <v>299</v>
      </c>
      <c r="C140" s="10" t="s">
        <v>300</v>
      </c>
      <c r="D140" s="6" t="s">
        <v>300</v>
      </c>
      <c r="E140" s="7">
        <v>6.8038800000000004</v>
      </c>
      <c r="F140" s="7">
        <v>9.0718399999999999</v>
      </c>
      <c r="G140" s="7"/>
      <c r="H140" s="7"/>
      <c r="I140" s="1"/>
      <c r="J140" s="1"/>
      <c r="K140" s="1">
        <v>7</v>
      </c>
      <c r="L140" s="1">
        <v>10</v>
      </c>
      <c r="M140" s="1"/>
      <c r="N140" s="1"/>
      <c r="O140" s="1">
        <v>6</v>
      </c>
      <c r="P140" s="1">
        <v>7</v>
      </c>
      <c r="Q140" s="12">
        <v>7.9378599999999997</v>
      </c>
      <c r="R140" s="1"/>
      <c r="S140" s="1"/>
      <c r="T140" s="1">
        <v>7.5</v>
      </c>
      <c r="U140" s="1">
        <v>8.5</v>
      </c>
      <c r="V140" s="1">
        <v>6.5</v>
      </c>
      <c r="W140" s="1"/>
      <c r="X140" s="1"/>
      <c r="Y140" s="1"/>
      <c r="Z140" s="1"/>
      <c r="AA140" s="1">
        <v>8</v>
      </c>
      <c r="AB140" s="1"/>
      <c r="AC140" s="1"/>
      <c r="AD140" s="1">
        <v>7.71</v>
      </c>
      <c r="AE140" s="1">
        <f t="shared" si="72"/>
        <v>7.6459533333333338</v>
      </c>
      <c r="AF140" s="1">
        <f t="shared" si="73"/>
        <v>7.8550000000000004</v>
      </c>
      <c r="AG140" s="1">
        <f t="shared" si="74"/>
        <v>7.7504766666666676</v>
      </c>
      <c r="AH140" s="1">
        <v>13</v>
      </c>
      <c r="AI140" s="1">
        <v>15</v>
      </c>
      <c r="AJ140" s="1">
        <v>15</v>
      </c>
      <c r="AK140" s="1"/>
      <c r="AL140" s="1">
        <v>14</v>
      </c>
      <c r="AM140" s="1">
        <v>15</v>
      </c>
      <c r="AN140" s="1">
        <v>12.93</v>
      </c>
      <c r="AO140" s="1">
        <v>13.5</v>
      </c>
      <c r="AP140" s="1">
        <v>12.8</v>
      </c>
      <c r="AQ140" s="1">
        <f t="shared" si="75"/>
        <v>14.333333333333334</v>
      </c>
      <c r="AR140" s="1">
        <f>AVERAGE(AN140:AP140)</f>
        <v>13.076666666666668</v>
      </c>
      <c r="AS140" s="12">
        <f t="shared" si="76"/>
        <v>13.390833333333335</v>
      </c>
      <c r="AT140" s="1"/>
      <c r="AU140" s="1"/>
      <c r="AV140" s="1">
        <v>3.47</v>
      </c>
      <c r="AW140" s="1"/>
      <c r="AX140" s="1"/>
      <c r="AY140" s="1"/>
      <c r="AZ140" s="1">
        <v>3.7</v>
      </c>
      <c r="BA140" s="1"/>
      <c r="BB140" s="1"/>
      <c r="BC140" s="1"/>
      <c r="BD140" s="1"/>
      <c r="BE140" s="1">
        <v>4</v>
      </c>
      <c r="BF140" s="1">
        <v>5</v>
      </c>
      <c r="BG140" s="1"/>
      <c r="BH140" s="1">
        <v>3.5</v>
      </c>
      <c r="BI140" s="1">
        <f>BO140+BP140</f>
        <v>3.8</v>
      </c>
      <c r="BJ140" s="1"/>
      <c r="BK140" s="1"/>
      <c r="BL140" s="1"/>
      <c r="BM140" s="1">
        <f t="shared" si="66"/>
        <v>3.9116666666666671</v>
      </c>
      <c r="BN140" s="12">
        <f t="shared" si="65"/>
        <v>3.9116666666666671</v>
      </c>
      <c r="BO140" s="1">
        <v>1.8</v>
      </c>
      <c r="BP140" s="1">
        <v>2</v>
      </c>
      <c r="BQ140" s="1"/>
      <c r="BR140" s="1"/>
      <c r="BS140" s="1"/>
      <c r="BT140" s="1">
        <v>180</v>
      </c>
      <c r="BU140" s="1"/>
      <c r="BV140" s="1"/>
      <c r="BW140" s="1"/>
      <c r="BX140" s="1"/>
      <c r="BY140" s="1">
        <f t="shared" si="68"/>
        <v>180</v>
      </c>
      <c r="BZ140" s="1">
        <f t="shared" si="69"/>
        <v>0.18</v>
      </c>
      <c r="CA140" s="1">
        <f t="shared" si="70"/>
        <v>180</v>
      </c>
      <c r="CB140" s="12">
        <f t="shared" si="71"/>
        <v>0.18</v>
      </c>
      <c r="CC140" s="13">
        <f t="shared" si="63"/>
        <v>0.70410000000000006</v>
      </c>
      <c r="CD140" s="6"/>
      <c r="CE140" s="6"/>
      <c r="CF140" s="6"/>
      <c r="CG140" s="6"/>
      <c r="CH140" s="6"/>
      <c r="CI140" s="6"/>
      <c r="CJ140" s="13">
        <f>((Q140-CB140)/CB140)*100</f>
        <v>4309.9222222222224</v>
      </c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</row>
    <row r="141" spans="1:160" x14ac:dyDescent="0.3">
      <c r="A141" s="6" t="s">
        <v>301</v>
      </c>
      <c r="B141" s="10" t="s">
        <v>301</v>
      </c>
      <c r="C141" s="10" t="s">
        <v>302</v>
      </c>
      <c r="D141" s="6" t="s">
        <v>303</v>
      </c>
      <c r="E141" s="7">
        <v>3.175144</v>
      </c>
      <c r="F141" s="7"/>
      <c r="G141" s="7">
        <v>1.5</v>
      </c>
      <c r="H141" s="7">
        <v>2</v>
      </c>
      <c r="I141" s="1"/>
      <c r="J141" s="1"/>
      <c r="K141" s="1">
        <v>3</v>
      </c>
      <c r="L141" s="1"/>
      <c r="M141" s="1"/>
      <c r="N141" s="1"/>
      <c r="O141" s="1">
        <v>3</v>
      </c>
      <c r="P141" s="1"/>
      <c r="Q141" s="12">
        <v>3.175144</v>
      </c>
      <c r="R141" s="1"/>
      <c r="S141" s="1"/>
      <c r="T141" s="1">
        <v>2.375</v>
      </c>
      <c r="U141" s="1">
        <v>3</v>
      </c>
      <c r="V141" s="1">
        <v>3</v>
      </c>
      <c r="W141" s="1"/>
      <c r="X141" s="1"/>
      <c r="Y141" s="1"/>
      <c r="Z141" s="1"/>
      <c r="AA141" s="1">
        <v>3</v>
      </c>
      <c r="AB141" s="1"/>
      <c r="AC141" s="1"/>
      <c r="AD141" s="1">
        <v>2.95</v>
      </c>
      <c r="AE141" s="1">
        <f t="shared" si="72"/>
        <v>2.5350288000000001</v>
      </c>
      <c r="AF141" s="1">
        <f t="shared" si="73"/>
        <v>2.9750000000000001</v>
      </c>
      <c r="AG141" s="1">
        <f t="shared" si="74"/>
        <v>2.7550144000000003</v>
      </c>
      <c r="AH141" s="1">
        <v>11</v>
      </c>
      <c r="AI141" s="1">
        <v>15</v>
      </c>
      <c r="AJ141" s="1">
        <v>12</v>
      </c>
      <c r="AK141" s="1">
        <v>15</v>
      </c>
      <c r="AL141" s="1">
        <v>13</v>
      </c>
      <c r="AM141" s="1">
        <v>13.5</v>
      </c>
      <c r="AN141" s="1"/>
      <c r="AO141" s="1">
        <v>13</v>
      </c>
      <c r="AP141" s="1">
        <v>12.8</v>
      </c>
      <c r="AQ141" s="1">
        <f t="shared" si="75"/>
        <v>13.25</v>
      </c>
      <c r="AR141" s="1">
        <f>AVERAGE(AN141:AP141)</f>
        <v>12.9</v>
      </c>
      <c r="AS141" s="12">
        <f t="shared" si="76"/>
        <v>13.016666666666666</v>
      </c>
      <c r="AT141" s="1"/>
      <c r="AU141" s="1"/>
      <c r="AV141" s="1"/>
      <c r="AW141" s="1"/>
      <c r="AX141" s="1"/>
      <c r="AY141" s="1">
        <v>1</v>
      </c>
      <c r="AZ141" s="1">
        <v>3.5</v>
      </c>
      <c r="BA141" s="1"/>
      <c r="BB141" s="1"/>
      <c r="BC141" s="1"/>
      <c r="BD141" s="1"/>
      <c r="BE141" s="1">
        <v>3</v>
      </c>
      <c r="BF141" s="1">
        <v>7.5</v>
      </c>
      <c r="BG141" s="1"/>
      <c r="BH141" s="1">
        <v>3.58</v>
      </c>
      <c r="BI141" s="1"/>
      <c r="BJ141" s="1"/>
      <c r="BK141" s="1"/>
      <c r="BL141" s="1"/>
      <c r="BM141" s="1">
        <f t="shared" si="66"/>
        <v>3.7159999999999997</v>
      </c>
      <c r="BN141" s="12">
        <f t="shared" si="65"/>
        <v>3.7159999999999997</v>
      </c>
      <c r="BO141" s="1"/>
      <c r="BP141" s="1"/>
      <c r="BQ141" s="1"/>
      <c r="BR141" s="1"/>
      <c r="BS141" s="1"/>
      <c r="BT141" s="1">
        <v>120</v>
      </c>
      <c r="BU141" s="1"/>
      <c r="BV141" s="1"/>
      <c r="BW141" s="1"/>
      <c r="BX141" s="1"/>
      <c r="BY141" s="1">
        <f t="shared" si="68"/>
        <v>120</v>
      </c>
      <c r="BZ141" s="1">
        <f t="shared" si="69"/>
        <v>0.12</v>
      </c>
      <c r="CA141" s="1">
        <f t="shared" si="70"/>
        <v>120</v>
      </c>
      <c r="CB141" s="12">
        <f t="shared" si="71"/>
        <v>0.12</v>
      </c>
      <c r="CC141" s="13">
        <f t="shared" si="63"/>
        <v>0.44591999999999993</v>
      </c>
      <c r="CD141" s="6"/>
      <c r="CE141" s="6">
        <v>9.91</v>
      </c>
      <c r="CF141" s="6">
        <f>AVERAGE(CD141:CE141)</f>
        <v>9.91</v>
      </c>
      <c r="CG141" s="6"/>
      <c r="CH141" s="6">
        <v>46</v>
      </c>
      <c r="CI141" s="6">
        <v>46</v>
      </c>
      <c r="CJ141" s="13">
        <f>((Q141-CB141)/CB141)*100</f>
        <v>2545.9533333333334</v>
      </c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</row>
    <row r="142" spans="1:160" x14ac:dyDescent="0.3">
      <c r="A142" s="6" t="s">
        <v>304</v>
      </c>
      <c r="B142" s="10" t="s">
        <v>305</v>
      </c>
      <c r="C142" s="10" t="s">
        <v>306</v>
      </c>
      <c r="D142" s="6" t="s">
        <v>306</v>
      </c>
      <c r="E142" s="7">
        <v>5.8966960000000004</v>
      </c>
      <c r="F142" s="7">
        <v>6.8038800000000004</v>
      </c>
      <c r="G142" s="7">
        <v>8</v>
      </c>
      <c r="H142" s="7">
        <v>16</v>
      </c>
      <c r="I142" s="1"/>
      <c r="J142" s="1"/>
      <c r="K142" s="1"/>
      <c r="L142" s="1"/>
      <c r="M142" s="1"/>
      <c r="N142" s="1"/>
      <c r="O142" s="1"/>
      <c r="P142" s="1"/>
      <c r="Q142" s="12">
        <v>6.3502879999999999</v>
      </c>
      <c r="R142" s="1"/>
      <c r="S142" s="1"/>
      <c r="T142" s="1">
        <v>12</v>
      </c>
      <c r="U142" s="1"/>
      <c r="V142" s="1"/>
      <c r="W142" s="1"/>
      <c r="X142" s="1"/>
      <c r="Y142" s="1"/>
      <c r="Z142" s="1"/>
      <c r="AA142" s="1">
        <v>7</v>
      </c>
      <c r="AB142" s="1"/>
      <c r="AC142" s="1"/>
      <c r="AD142" s="1"/>
      <c r="AE142" s="1">
        <f t="shared" si="72"/>
        <v>9.1751439999999995</v>
      </c>
      <c r="AF142" s="1">
        <f t="shared" si="73"/>
        <v>7</v>
      </c>
      <c r="AG142" s="1">
        <f t="shared" si="74"/>
        <v>8.0875719999999998</v>
      </c>
      <c r="AH142" s="1">
        <v>13</v>
      </c>
      <c r="AI142" s="1">
        <v>15</v>
      </c>
      <c r="AJ142" s="1">
        <v>11</v>
      </c>
      <c r="AK142" s="1">
        <v>15</v>
      </c>
      <c r="AL142" s="1">
        <v>14</v>
      </c>
      <c r="AM142" s="1">
        <v>13</v>
      </c>
      <c r="AN142" s="1"/>
      <c r="AO142" s="1"/>
      <c r="AP142" s="1"/>
      <c r="AQ142" s="1">
        <f t="shared" si="75"/>
        <v>13.5</v>
      </c>
      <c r="AR142" s="1"/>
      <c r="AS142" s="12">
        <f t="shared" si="76"/>
        <v>13.5</v>
      </c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>
        <v>5</v>
      </c>
      <c r="BK142" s="1">
        <v>5</v>
      </c>
      <c r="BL142" s="1"/>
      <c r="BM142" s="1"/>
      <c r="BN142" s="12">
        <f t="shared" ref="BN142:BN148" si="77">AVERAGE(AT142:BK142)</f>
        <v>5</v>
      </c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2"/>
      <c r="CC142" s="13">
        <f t="shared" si="63"/>
        <v>0</v>
      </c>
      <c r="CD142" s="6"/>
      <c r="CE142" s="6"/>
      <c r="CF142" s="6"/>
      <c r="CG142" s="6"/>
      <c r="CH142" s="6"/>
      <c r="CI142" s="6"/>
      <c r="CJ142" s="13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</row>
    <row r="143" spans="1:160" x14ac:dyDescent="0.3">
      <c r="A143" s="6" t="s">
        <v>307</v>
      </c>
      <c r="B143" s="10" t="s">
        <v>305</v>
      </c>
      <c r="C143" s="10" t="s">
        <v>308</v>
      </c>
      <c r="D143" s="6" t="s">
        <v>309</v>
      </c>
      <c r="E143" s="7">
        <v>5.4431039999999999</v>
      </c>
      <c r="F143" s="7">
        <v>7.2574719999999999</v>
      </c>
      <c r="G143" s="7"/>
      <c r="H143" s="7"/>
      <c r="I143" s="1"/>
      <c r="J143" s="1"/>
      <c r="K143" s="1"/>
      <c r="L143" s="1"/>
      <c r="M143" s="1"/>
      <c r="N143" s="1"/>
      <c r="O143" s="1"/>
      <c r="P143" s="1"/>
      <c r="Q143" s="12">
        <v>6.3502879999999999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>
        <f t="shared" si="72"/>
        <v>6.3502879999999999</v>
      </c>
      <c r="AF143" s="1"/>
      <c r="AG143" s="1">
        <f t="shared" si="74"/>
        <v>6.3502879999999999</v>
      </c>
      <c r="AH143" s="1">
        <v>14</v>
      </c>
      <c r="AI143" s="1">
        <v>16</v>
      </c>
      <c r="AJ143" s="1"/>
      <c r="AK143" s="1"/>
      <c r="AL143" s="1">
        <v>15</v>
      </c>
      <c r="AM143" s="1"/>
      <c r="AN143" s="1"/>
      <c r="AO143" s="1"/>
      <c r="AP143" s="1"/>
      <c r="AQ143" s="1">
        <f t="shared" si="75"/>
        <v>15</v>
      </c>
      <c r="AR143" s="1"/>
      <c r="AS143" s="12">
        <f t="shared" si="76"/>
        <v>15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>
        <v>4</v>
      </c>
      <c r="BK143" s="1">
        <v>4</v>
      </c>
      <c r="BL143" s="1"/>
      <c r="BM143" s="1"/>
      <c r="BN143" s="12">
        <f t="shared" si="77"/>
        <v>4</v>
      </c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2"/>
      <c r="CC143" s="13">
        <f t="shared" si="63"/>
        <v>0</v>
      </c>
      <c r="CD143" s="6"/>
      <c r="CE143" s="6"/>
      <c r="CF143" s="6"/>
      <c r="CG143" s="6"/>
      <c r="CH143" s="6"/>
      <c r="CI143" s="6"/>
      <c r="CJ143" s="13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</row>
    <row r="144" spans="1:160" x14ac:dyDescent="0.3">
      <c r="A144" s="6" t="s">
        <v>310</v>
      </c>
      <c r="B144" s="10" t="s">
        <v>305</v>
      </c>
      <c r="C144" s="10" t="s">
        <v>311</v>
      </c>
      <c r="D144" s="6" t="s">
        <v>311</v>
      </c>
      <c r="E144" s="7"/>
      <c r="F144" s="7"/>
      <c r="G144" s="7"/>
      <c r="H144" s="7"/>
      <c r="I144" s="1">
        <v>19.958048000000002</v>
      </c>
      <c r="J144" s="1">
        <v>24.947559999999999</v>
      </c>
      <c r="K144" s="1"/>
      <c r="L144" s="1"/>
      <c r="M144" s="1">
        <v>14.968536</v>
      </c>
      <c r="N144" s="1">
        <v>19.958048000000002</v>
      </c>
      <c r="O144" s="1"/>
      <c r="P144" s="1"/>
      <c r="Q144" s="12">
        <v>19.958048000000002</v>
      </c>
      <c r="R144" s="1">
        <v>22.452804</v>
      </c>
      <c r="S144" s="1">
        <v>17.463291999999999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>
        <f t="shared" si="72"/>
        <v>19.958048000000002</v>
      </c>
      <c r="AF144" s="1"/>
      <c r="AG144" s="1">
        <f t="shared" si="74"/>
        <v>19.958048000000002</v>
      </c>
      <c r="AH144" s="1">
        <v>12</v>
      </c>
      <c r="AI144" s="1">
        <v>15</v>
      </c>
      <c r="AJ144" s="1"/>
      <c r="AK144" s="1"/>
      <c r="AL144" s="1">
        <v>13.5</v>
      </c>
      <c r="AM144" s="1"/>
      <c r="AN144" s="1"/>
      <c r="AO144" s="1"/>
      <c r="AP144" s="1"/>
      <c r="AQ144" s="1">
        <f t="shared" si="75"/>
        <v>13.5</v>
      </c>
      <c r="AR144" s="1"/>
      <c r="AS144" s="12">
        <f t="shared" si="76"/>
        <v>13.5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>
        <v>5</v>
      </c>
      <c r="BK144" s="1">
        <v>5</v>
      </c>
      <c r="BL144" s="1"/>
      <c r="BM144" s="1"/>
      <c r="BN144" s="12">
        <f t="shared" si="77"/>
        <v>5</v>
      </c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2"/>
      <c r="CC144" s="13">
        <f t="shared" si="63"/>
        <v>0</v>
      </c>
      <c r="CD144" s="6"/>
      <c r="CE144" s="6"/>
      <c r="CF144" s="6"/>
      <c r="CG144" s="6"/>
      <c r="CH144" s="6"/>
      <c r="CI144" s="6"/>
      <c r="CJ144" s="13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</row>
    <row r="145" spans="1:160" x14ac:dyDescent="0.3">
      <c r="A145" s="6" t="s">
        <v>312</v>
      </c>
      <c r="B145" s="10" t="s">
        <v>305</v>
      </c>
      <c r="C145" s="10" t="s">
        <v>313</v>
      </c>
      <c r="D145" s="6" t="s">
        <v>314</v>
      </c>
      <c r="E145" s="7"/>
      <c r="F145" s="7"/>
      <c r="G145" s="7"/>
      <c r="H145" s="7"/>
      <c r="I145" s="1">
        <v>40.823279999999997</v>
      </c>
      <c r="J145" s="1">
        <v>49.895119999999999</v>
      </c>
      <c r="K145" s="1">
        <v>41</v>
      </c>
      <c r="L145" s="1">
        <v>50</v>
      </c>
      <c r="M145" s="1">
        <v>36.28736</v>
      </c>
      <c r="N145" s="1">
        <v>45.359200000000001</v>
      </c>
      <c r="O145" s="1">
        <v>36</v>
      </c>
      <c r="P145" s="1">
        <v>45</v>
      </c>
      <c r="Q145" s="12">
        <v>43.091239999999999</v>
      </c>
      <c r="R145" s="1">
        <v>45.359200000000001</v>
      </c>
      <c r="S145" s="1">
        <v>40.823279999999997</v>
      </c>
      <c r="T145" s="1">
        <v>43</v>
      </c>
      <c r="U145" s="1">
        <v>45.5</v>
      </c>
      <c r="V145" s="1">
        <v>40.5</v>
      </c>
      <c r="W145" s="1">
        <f>AVERAGE(X145:Y145)</f>
        <v>45.35</v>
      </c>
      <c r="X145" s="1">
        <v>45.35</v>
      </c>
      <c r="Y145" s="1"/>
      <c r="Z145" s="1"/>
      <c r="AA145" s="1"/>
      <c r="AB145" s="1"/>
      <c r="AC145" s="1"/>
      <c r="AD145" s="1">
        <v>40.82</v>
      </c>
      <c r="AE145" s="1">
        <f t="shared" si="72"/>
        <v>43.04562</v>
      </c>
      <c r="AF145" s="1">
        <f>AVERAGE(X145:AD145)</f>
        <v>43.085000000000001</v>
      </c>
      <c r="AG145" s="1">
        <f t="shared" si="74"/>
        <v>43.065309999999997</v>
      </c>
      <c r="AH145" s="1">
        <v>10</v>
      </c>
      <c r="AI145" s="1">
        <v>12</v>
      </c>
      <c r="AJ145" s="1">
        <v>10</v>
      </c>
      <c r="AK145" s="1">
        <v>12</v>
      </c>
      <c r="AL145" s="1">
        <v>11</v>
      </c>
      <c r="AM145" s="1">
        <v>11</v>
      </c>
      <c r="AN145" s="1"/>
      <c r="AO145" s="1"/>
      <c r="AP145" s="1"/>
      <c r="AQ145" s="1">
        <f t="shared" si="75"/>
        <v>11</v>
      </c>
      <c r="AR145" s="1"/>
      <c r="AS145" s="12">
        <f t="shared" si="76"/>
        <v>11</v>
      </c>
      <c r="AT145" s="1"/>
      <c r="AU145" s="1"/>
      <c r="AV145" s="1"/>
      <c r="AW145" s="1"/>
      <c r="AX145" s="1"/>
      <c r="AY145" s="1"/>
      <c r="AZ145" s="1">
        <v>7</v>
      </c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>
        <f>AVERAGE(AV145:BI145)</f>
        <v>7</v>
      </c>
      <c r="BN145" s="12">
        <f t="shared" si="77"/>
        <v>7</v>
      </c>
      <c r="BO145" s="1"/>
      <c r="BP145" s="1"/>
      <c r="BQ145" s="1"/>
      <c r="BR145" s="1">
        <v>450</v>
      </c>
      <c r="BS145" s="1"/>
      <c r="BT145" s="1"/>
      <c r="BU145" s="1"/>
      <c r="BV145" s="1">
        <v>450</v>
      </c>
      <c r="BW145" s="1"/>
      <c r="BX145" s="1"/>
      <c r="BY145" s="1">
        <f>AVERAGE(BR145:BU145)</f>
        <v>450</v>
      </c>
      <c r="BZ145" s="1">
        <f>BY145/1000</f>
        <v>0.45</v>
      </c>
      <c r="CA145" s="1">
        <f>AVERAGE(BQ145:BU145)</f>
        <v>450</v>
      </c>
      <c r="CB145" s="12">
        <f>CA145/1000</f>
        <v>0.45</v>
      </c>
      <c r="CC145" s="13">
        <f t="shared" si="63"/>
        <v>3.15</v>
      </c>
      <c r="CD145" s="6"/>
      <c r="CE145" s="6"/>
      <c r="CF145" s="6"/>
      <c r="CG145" s="6"/>
      <c r="CH145" s="6"/>
      <c r="CI145" s="6"/>
      <c r="CJ145" s="13">
        <f>((Q145-CB145)/CB145)*100</f>
        <v>9475.8311111111107</v>
      </c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</row>
    <row r="146" spans="1:160" x14ac:dyDescent="0.3">
      <c r="A146" s="6" t="s">
        <v>315</v>
      </c>
      <c r="B146" s="10" t="s">
        <v>305</v>
      </c>
      <c r="C146" s="10" t="s">
        <v>316</v>
      </c>
      <c r="D146" s="6" t="s">
        <v>316</v>
      </c>
      <c r="E146" s="7"/>
      <c r="F146" s="7"/>
      <c r="G146" s="7"/>
      <c r="H146" s="7"/>
      <c r="I146" s="1"/>
      <c r="J146" s="1"/>
      <c r="K146" s="1"/>
      <c r="L146" s="1"/>
      <c r="M146" s="1"/>
      <c r="N146" s="1"/>
      <c r="O146" s="1"/>
      <c r="P146" s="1"/>
      <c r="Q146" s="1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2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>
        <v>8.5</v>
      </c>
      <c r="BK146" s="1">
        <v>8</v>
      </c>
      <c r="BL146" s="1"/>
      <c r="BM146" s="1"/>
      <c r="BN146" s="12">
        <f t="shared" si="77"/>
        <v>8.25</v>
      </c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2"/>
      <c r="CC146" s="13">
        <f t="shared" si="63"/>
        <v>0</v>
      </c>
      <c r="CD146" s="6"/>
      <c r="CE146" s="6"/>
      <c r="CF146" s="6"/>
      <c r="CG146" s="6"/>
      <c r="CH146" s="6"/>
      <c r="CI146" s="6"/>
      <c r="CJ146" s="13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</row>
    <row r="147" spans="1:160" x14ac:dyDescent="0.3">
      <c r="A147" s="6" t="s">
        <v>317</v>
      </c>
      <c r="B147" s="10" t="s">
        <v>305</v>
      </c>
      <c r="C147" s="10" t="s">
        <v>318</v>
      </c>
      <c r="D147" s="6" t="s">
        <v>318</v>
      </c>
      <c r="E147" s="7"/>
      <c r="F147" s="7"/>
      <c r="G147" s="7"/>
      <c r="H147" s="7"/>
      <c r="I147" s="1">
        <v>9.9790240000000008</v>
      </c>
      <c r="J147" s="1">
        <v>11.793392000000001</v>
      </c>
      <c r="K147" s="1"/>
      <c r="L147" s="1"/>
      <c r="M147" s="1">
        <v>7.7110640000000004</v>
      </c>
      <c r="N147" s="1">
        <v>9.9790240000000008</v>
      </c>
      <c r="O147" s="1"/>
      <c r="P147" s="1"/>
      <c r="Q147" s="12">
        <v>9.8656260000000007</v>
      </c>
      <c r="R147" s="1">
        <v>10.886208</v>
      </c>
      <c r="S147" s="1">
        <v>8.8450439999999997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>
        <f>AVERAGE(E147:P147)</f>
        <v>9.8656260000000007</v>
      </c>
      <c r="AF147" s="1"/>
      <c r="AG147" s="1">
        <f>AVERAGE(AE147:AF147)</f>
        <v>9.8656260000000007</v>
      </c>
      <c r="AH147" s="1">
        <v>12</v>
      </c>
      <c r="AI147" s="1">
        <v>14</v>
      </c>
      <c r="AJ147" s="1"/>
      <c r="AK147" s="1"/>
      <c r="AL147" s="1">
        <v>13</v>
      </c>
      <c r="AM147" s="1"/>
      <c r="AN147" s="1"/>
      <c r="AO147" s="1"/>
      <c r="AP147" s="1"/>
      <c r="AQ147" s="1">
        <f>AVERAGE(AH147:AK147)</f>
        <v>13</v>
      </c>
      <c r="AR147" s="1"/>
      <c r="AS147" s="12">
        <f>AVERAGE(AN147:AQ147)</f>
        <v>13</v>
      </c>
      <c r="AT147" s="1"/>
      <c r="AU147" s="1"/>
      <c r="AV147" s="1"/>
      <c r="AW147" s="1"/>
      <c r="AX147" s="1"/>
      <c r="AY147" s="1"/>
      <c r="AZ147" s="1">
        <v>4.5</v>
      </c>
      <c r="BA147" s="1"/>
      <c r="BB147" s="1"/>
      <c r="BC147" s="1"/>
      <c r="BD147" s="1"/>
      <c r="BE147" s="1">
        <v>6</v>
      </c>
      <c r="BF147" s="1"/>
      <c r="BG147" s="1"/>
      <c r="BH147" s="1"/>
      <c r="BI147" s="1"/>
      <c r="BJ147" s="1"/>
      <c r="BK147" s="1"/>
      <c r="BL147" s="1"/>
      <c r="BM147" s="1">
        <f>AVERAGE(AV147:BI147)</f>
        <v>5.25</v>
      </c>
      <c r="BN147" s="12">
        <f t="shared" si="77"/>
        <v>5.25</v>
      </c>
      <c r="BO147" s="1"/>
      <c r="BP147" s="1"/>
      <c r="BQ147" s="1"/>
      <c r="BR147" s="1"/>
      <c r="BS147" s="1"/>
      <c r="BT147" s="1">
        <v>290</v>
      </c>
      <c r="BU147" s="1"/>
      <c r="BV147" s="1"/>
      <c r="BW147" s="1"/>
      <c r="BX147" s="1"/>
      <c r="BY147" s="1">
        <f>AVERAGE(BR147:BU147)</f>
        <v>290</v>
      </c>
      <c r="BZ147" s="1">
        <f>BY147/1000</f>
        <v>0.28999999999999998</v>
      </c>
      <c r="CA147" s="1">
        <f>AVERAGE(BQ147:BU147)</f>
        <v>290</v>
      </c>
      <c r="CB147" s="12">
        <f>CA147/1000</f>
        <v>0.28999999999999998</v>
      </c>
      <c r="CC147" s="13">
        <f t="shared" si="63"/>
        <v>1.5225</v>
      </c>
      <c r="CD147" s="6"/>
      <c r="CE147" s="6"/>
      <c r="CF147" s="6"/>
      <c r="CG147" s="6"/>
      <c r="CH147" s="6"/>
      <c r="CI147" s="6"/>
      <c r="CJ147" s="13">
        <f>((Q147-CB147)/CB147)*100</f>
        <v>3301.9400000000005</v>
      </c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</row>
    <row r="148" spans="1:160" x14ac:dyDescent="0.3">
      <c r="A148" s="6" t="s">
        <v>319</v>
      </c>
      <c r="B148" s="10" t="s">
        <v>305</v>
      </c>
      <c r="C148" s="10" t="s">
        <v>320</v>
      </c>
      <c r="D148" s="6" t="s">
        <v>320</v>
      </c>
      <c r="E148" s="7"/>
      <c r="F148" s="7"/>
      <c r="G148" s="7">
        <v>25</v>
      </c>
      <c r="H148" s="7">
        <v>32</v>
      </c>
      <c r="I148" s="1">
        <v>24.947559999999999</v>
      </c>
      <c r="J148" s="1">
        <v>40.823279999999997</v>
      </c>
      <c r="K148" s="1"/>
      <c r="L148" s="1"/>
      <c r="M148" s="1">
        <v>22.679600000000001</v>
      </c>
      <c r="N148" s="1">
        <v>29.48348</v>
      </c>
      <c r="O148" s="1"/>
      <c r="P148" s="1"/>
      <c r="Q148" s="12">
        <v>29.48348</v>
      </c>
      <c r="R148" s="1">
        <v>32.885420000000003</v>
      </c>
      <c r="S148" s="1">
        <v>26.08154</v>
      </c>
      <c r="T148" s="1">
        <v>28.5</v>
      </c>
      <c r="U148" s="1"/>
      <c r="V148" s="1"/>
      <c r="W148" s="1">
        <f>AVERAGE(X148:Y148)</f>
        <v>28.5</v>
      </c>
      <c r="X148" s="1">
        <v>32</v>
      </c>
      <c r="Y148" s="1">
        <v>25</v>
      </c>
      <c r="Z148" s="1"/>
      <c r="AA148" s="1"/>
      <c r="AB148" s="1"/>
      <c r="AC148" s="1"/>
      <c r="AD148" s="1"/>
      <c r="AE148" s="1">
        <f>AVERAGE(E148:P148)</f>
        <v>29.155653333333333</v>
      </c>
      <c r="AF148" s="1">
        <f>AVERAGE(X148:AD148)</f>
        <v>28.5</v>
      </c>
      <c r="AG148" s="1">
        <f>AVERAGE(AE148:AF148)</f>
        <v>28.827826666666667</v>
      </c>
      <c r="AH148" s="1">
        <v>12</v>
      </c>
      <c r="AI148" s="1">
        <v>15</v>
      </c>
      <c r="AJ148" s="1">
        <v>12</v>
      </c>
      <c r="AK148" s="1">
        <v>14</v>
      </c>
      <c r="AL148" s="1">
        <v>13.5</v>
      </c>
      <c r="AM148" s="1">
        <v>13</v>
      </c>
      <c r="AN148" s="1"/>
      <c r="AO148" s="1"/>
      <c r="AP148" s="1"/>
      <c r="AQ148" s="1">
        <f>AVERAGE(AH148:AK148)</f>
        <v>13.25</v>
      </c>
      <c r="AR148" s="1"/>
      <c r="AS148" s="12">
        <f>AVERAGE(AN148:AQ148)</f>
        <v>13.25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>
        <v>8</v>
      </c>
      <c r="BK148" s="1">
        <v>5</v>
      </c>
      <c r="BL148" s="1"/>
      <c r="BM148" s="1"/>
      <c r="BN148" s="12">
        <f t="shared" si="77"/>
        <v>6.5</v>
      </c>
      <c r="BO148" s="1"/>
      <c r="BP148" s="1"/>
      <c r="BQ148" s="1"/>
      <c r="BR148" s="1">
        <v>376</v>
      </c>
      <c r="BS148" s="1"/>
      <c r="BT148" s="1"/>
      <c r="BU148" s="1"/>
      <c r="BV148" s="1">
        <v>376</v>
      </c>
      <c r="BW148" s="1">
        <v>376</v>
      </c>
      <c r="BX148" s="1"/>
      <c r="BY148" s="1">
        <f>AVERAGE(BR148:BU148)</f>
        <v>376</v>
      </c>
      <c r="BZ148" s="1">
        <f>BY148/1000</f>
        <v>0.376</v>
      </c>
      <c r="CA148" s="1">
        <f>AVERAGE(BQ148:BU148)</f>
        <v>376</v>
      </c>
      <c r="CB148" s="12">
        <f>CA148/1000</f>
        <v>0.376</v>
      </c>
      <c r="CC148" s="13">
        <f t="shared" si="63"/>
        <v>2.444</v>
      </c>
      <c r="CD148" s="6"/>
      <c r="CE148" s="6"/>
      <c r="CF148" s="6"/>
      <c r="CG148" s="6"/>
      <c r="CH148" s="6"/>
      <c r="CI148" s="6"/>
      <c r="CJ148" s="13">
        <f>((Q148-CB148)/CB148)*100</f>
        <v>7741.3510638297867</v>
      </c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</row>
    <row r="149" spans="1:160" x14ac:dyDescent="0.3">
      <c r="A149" s="6" t="s">
        <v>321</v>
      </c>
      <c r="B149" s="10" t="s">
        <v>305</v>
      </c>
      <c r="C149" s="10" t="s">
        <v>322</v>
      </c>
      <c r="D149" s="6" t="s">
        <v>322</v>
      </c>
      <c r="E149" s="7"/>
      <c r="F149" s="7"/>
      <c r="G149" s="7"/>
      <c r="H149" s="7"/>
      <c r="I149" s="1"/>
      <c r="J149" s="1"/>
      <c r="K149" s="1"/>
      <c r="L149" s="1"/>
      <c r="M149" s="1"/>
      <c r="N149" s="1"/>
      <c r="O149" s="1"/>
      <c r="P149" s="1"/>
      <c r="Q149" s="1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2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2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2"/>
      <c r="CC149" s="13">
        <f t="shared" si="63"/>
        <v>0</v>
      </c>
      <c r="CD149" s="6"/>
      <c r="CE149" s="6"/>
      <c r="CF149" s="6"/>
      <c r="CG149" s="6"/>
      <c r="CH149" s="6"/>
      <c r="CI149" s="6"/>
      <c r="CJ149" s="13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</row>
    <row r="150" spans="1:160" x14ac:dyDescent="0.3">
      <c r="A150" s="6" t="s">
        <v>323</v>
      </c>
      <c r="B150" s="10" t="s">
        <v>305</v>
      </c>
      <c r="C150" s="10" t="s">
        <v>324</v>
      </c>
      <c r="D150" s="6" t="s">
        <v>324</v>
      </c>
      <c r="E150" s="7"/>
      <c r="F150" s="7"/>
      <c r="G150" s="7">
        <v>30</v>
      </c>
      <c r="H150" s="7">
        <v>34</v>
      </c>
      <c r="I150" s="1">
        <v>29.48348</v>
      </c>
      <c r="J150" s="1">
        <v>31.751439999999999</v>
      </c>
      <c r="K150" s="1"/>
      <c r="L150" s="1"/>
      <c r="M150" s="1">
        <v>27.215520000000001</v>
      </c>
      <c r="N150" s="1">
        <v>29.48348</v>
      </c>
      <c r="O150" s="1"/>
      <c r="P150" s="1"/>
      <c r="Q150" s="12">
        <v>29.48348</v>
      </c>
      <c r="R150" s="1">
        <v>30.617460000000001</v>
      </c>
      <c r="S150" s="1">
        <v>28.349499999999999</v>
      </c>
      <c r="T150" s="1">
        <v>32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>
        <f>AVERAGE(E150:P150)</f>
        <v>30.322320000000001</v>
      </c>
      <c r="AF150" s="1"/>
      <c r="AG150" s="1">
        <f>AVERAGE(AE150:AF150)</f>
        <v>30.322320000000001</v>
      </c>
      <c r="AH150" s="1">
        <v>11</v>
      </c>
      <c r="AI150" s="1">
        <v>13</v>
      </c>
      <c r="AJ150" s="1">
        <v>11</v>
      </c>
      <c r="AK150" s="1">
        <v>14</v>
      </c>
      <c r="AL150" s="1">
        <v>12</v>
      </c>
      <c r="AM150" s="1">
        <v>12.5</v>
      </c>
      <c r="AN150" s="1"/>
      <c r="AO150" s="1"/>
      <c r="AP150" s="1"/>
      <c r="AQ150" s="1">
        <f>AVERAGE(AH150:AK150)</f>
        <v>12.25</v>
      </c>
      <c r="AR150" s="1"/>
      <c r="AS150" s="12">
        <f>AVERAGE(AN150:AQ150)</f>
        <v>12.25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>
        <v>7.3</v>
      </c>
      <c r="BD150" s="1"/>
      <c r="BE150" s="1"/>
      <c r="BF150" s="1"/>
      <c r="BG150" s="1"/>
      <c r="BH150" s="1"/>
      <c r="BI150" s="1"/>
      <c r="BJ150" s="1"/>
      <c r="BK150" s="1"/>
      <c r="BL150" s="1"/>
      <c r="BM150" s="1">
        <f>AVERAGE(AV150:BI150)</f>
        <v>7.3</v>
      </c>
      <c r="BN150" s="12">
        <f>AVERAGE(AT150:BK150)</f>
        <v>7.3</v>
      </c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2"/>
      <c r="CC150" s="13">
        <f t="shared" si="63"/>
        <v>0</v>
      </c>
      <c r="CD150" s="6"/>
      <c r="CE150" s="6"/>
      <c r="CF150" s="6"/>
      <c r="CG150" s="6"/>
      <c r="CH150" s="6"/>
      <c r="CI150" s="6"/>
      <c r="CJ150" s="13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</row>
    <row r="151" spans="1:160" x14ac:dyDescent="0.3">
      <c r="A151" s="6" t="s">
        <v>325</v>
      </c>
      <c r="B151" s="10" t="s">
        <v>305</v>
      </c>
      <c r="C151" s="10" t="s">
        <v>326</v>
      </c>
      <c r="D151" s="6" t="s">
        <v>327</v>
      </c>
      <c r="E151" s="7">
        <v>3.175144</v>
      </c>
      <c r="F151" s="7">
        <v>5.8966960000000004</v>
      </c>
      <c r="G151" s="7">
        <v>3.5</v>
      </c>
      <c r="H151" s="7">
        <v>5</v>
      </c>
      <c r="I151" s="1"/>
      <c r="J151" s="1"/>
      <c r="K151" s="1"/>
      <c r="L151" s="1"/>
      <c r="M151" s="1"/>
      <c r="N151" s="1"/>
      <c r="O151" s="1"/>
      <c r="P151" s="1"/>
      <c r="Q151" s="12">
        <v>4.53592</v>
      </c>
      <c r="R151" s="1"/>
      <c r="S151" s="1"/>
      <c r="T151" s="1">
        <v>4.25</v>
      </c>
      <c r="U151" s="1"/>
      <c r="V151" s="1"/>
      <c r="W151" s="1">
        <f>AVERAGE(X151:Y151)</f>
        <v>4.53</v>
      </c>
      <c r="X151" s="1">
        <v>4.53</v>
      </c>
      <c r="Y151" s="1"/>
      <c r="Z151" s="1"/>
      <c r="AA151" s="1"/>
      <c r="AB151" s="1"/>
      <c r="AC151" s="1"/>
      <c r="AD151" s="1"/>
      <c r="AE151" s="1">
        <f>AVERAGE(E151:P151)</f>
        <v>4.3929600000000004</v>
      </c>
      <c r="AF151" s="1">
        <f>AVERAGE(X151:AD151)</f>
        <v>4.53</v>
      </c>
      <c r="AG151" s="1">
        <f>AVERAGE(AE151:AF151)</f>
        <v>4.4614799999999999</v>
      </c>
      <c r="AH151" s="1">
        <v>14</v>
      </c>
      <c r="AI151" s="1">
        <v>16</v>
      </c>
      <c r="AJ151" s="1">
        <v>12</v>
      </c>
      <c r="AK151" s="1">
        <v>15</v>
      </c>
      <c r="AL151" s="1">
        <v>15</v>
      </c>
      <c r="AM151" s="1">
        <v>13.5</v>
      </c>
      <c r="AN151" s="1"/>
      <c r="AO151" s="1"/>
      <c r="AP151" s="1"/>
      <c r="AQ151" s="1">
        <f>AVERAGE(AH151:AK151)</f>
        <v>14.25</v>
      </c>
      <c r="AR151" s="1"/>
      <c r="AS151" s="12">
        <f>AVERAGE(AN151:AQ151)</f>
        <v>14.25</v>
      </c>
      <c r="AT151" s="1"/>
      <c r="AU151" s="1"/>
      <c r="AV151" s="1"/>
      <c r="AW151" s="1"/>
      <c r="AX151" s="1"/>
      <c r="AY151" s="1"/>
      <c r="AZ151" s="1">
        <v>4.3</v>
      </c>
      <c r="BA151" s="1"/>
      <c r="BB151" s="1"/>
      <c r="BC151" s="1"/>
      <c r="BD151" s="1"/>
      <c r="BE151" s="1">
        <v>4.5</v>
      </c>
      <c r="BF151" s="1"/>
      <c r="BG151" s="1"/>
      <c r="BH151" s="1">
        <v>5.54</v>
      </c>
      <c r="BI151" s="1"/>
      <c r="BJ151" s="1"/>
      <c r="BK151" s="1"/>
      <c r="BL151" s="1"/>
      <c r="BM151" s="1">
        <f>AVERAGE(AV151:BI151)</f>
        <v>4.78</v>
      </c>
      <c r="BN151" s="12">
        <f>AVERAGE(AT151:BK151)</f>
        <v>4.78</v>
      </c>
      <c r="BO151" s="1"/>
      <c r="BP151" s="1"/>
      <c r="BQ151" s="1"/>
      <c r="BR151" s="1">
        <v>156</v>
      </c>
      <c r="BS151" s="1"/>
      <c r="BT151" s="1">
        <v>195</v>
      </c>
      <c r="BU151" s="1"/>
      <c r="BV151" s="1">
        <v>156</v>
      </c>
      <c r="BW151" s="1"/>
      <c r="BX151" s="1"/>
      <c r="BY151" s="1">
        <f>AVERAGE(BR151:BU151)</f>
        <v>175.5</v>
      </c>
      <c r="BZ151" s="1">
        <f>BY151/1000</f>
        <v>0.17549999999999999</v>
      </c>
      <c r="CA151" s="1">
        <f>AVERAGE(BQ151:BU151)</f>
        <v>175.5</v>
      </c>
      <c r="CB151" s="12">
        <f>CA151/1000</f>
        <v>0.17549999999999999</v>
      </c>
      <c r="CC151" s="13">
        <f t="shared" si="63"/>
        <v>0.83889000000000002</v>
      </c>
      <c r="CD151" s="6"/>
      <c r="CE151" s="6"/>
      <c r="CF151" s="6"/>
      <c r="CG151" s="6"/>
      <c r="CH151" s="6"/>
      <c r="CI151" s="6"/>
      <c r="CJ151" s="13">
        <f>((Q151-CB151)/CB151)*100</f>
        <v>2484.5698005698005</v>
      </c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</row>
    <row r="152" spans="1:160" x14ac:dyDescent="0.3">
      <c r="A152" s="6" t="s">
        <v>328</v>
      </c>
      <c r="B152" s="10" t="s">
        <v>305</v>
      </c>
      <c r="C152" s="10" t="s">
        <v>329</v>
      </c>
      <c r="D152" s="6" t="s">
        <v>330</v>
      </c>
      <c r="E152" s="7"/>
      <c r="F152" s="7"/>
      <c r="G152" s="7"/>
      <c r="H152" s="7"/>
      <c r="I152" s="1"/>
      <c r="J152" s="1"/>
      <c r="K152" s="1">
        <v>22.5</v>
      </c>
      <c r="L152" s="1"/>
      <c r="M152" s="1"/>
      <c r="N152" s="1"/>
      <c r="O152" s="1">
        <v>20.5</v>
      </c>
      <c r="P152" s="1"/>
      <c r="Q152" s="12"/>
      <c r="R152" s="1"/>
      <c r="S152" s="1"/>
      <c r="T152" s="1">
        <v>21.5</v>
      </c>
      <c r="U152" s="1">
        <v>22.5</v>
      </c>
      <c r="V152" s="1">
        <v>20.5</v>
      </c>
      <c r="W152" s="1"/>
      <c r="X152" s="1"/>
      <c r="Y152" s="1"/>
      <c r="Z152" s="1"/>
      <c r="AA152" s="1"/>
      <c r="AB152" s="1"/>
      <c r="AC152" s="1"/>
      <c r="AD152" s="1"/>
      <c r="AE152" s="1">
        <f>AVERAGE(E152:P152)</f>
        <v>21.5</v>
      </c>
      <c r="AF152" s="1"/>
      <c r="AG152" s="1">
        <f>AVERAGE(AE152:AF152)</f>
        <v>21.5</v>
      </c>
      <c r="AH152" s="1">
        <v>11</v>
      </c>
      <c r="AI152" s="1">
        <v>14</v>
      </c>
      <c r="AJ152" s="1">
        <v>11</v>
      </c>
      <c r="AK152" s="1">
        <v>14</v>
      </c>
      <c r="AL152" s="1">
        <v>12.5</v>
      </c>
      <c r="AM152" s="1">
        <v>12.5</v>
      </c>
      <c r="AN152" s="1"/>
      <c r="AO152" s="1"/>
      <c r="AP152" s="1"/>
      <c r="AQ152" s="1">
        <f>AVERAGE(AH152:AK152)</f>
        <v>12.5</v>
      </c>
      <c r="AR152" s="1"/>
      <c r="AS152" s="12">
        <f>AVERAGE(AN152:AQ152)</f>
        <v>12.5</v>
      </c>
      <c r="AT152" s="1"/>
      <c r="AU152" s="1"/>
      <c r="AV152" s="1"/>
      <c r="AW152" s="1"/>
      <c r="AX152" s="1"/>
      <c r="AY152" s="1"/>
      <c r="AZ152" s="1">
        <v>5.75</v>
      </c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>
        <f>AVERAGE(AV152:BI152)</f>
        <v>5.75</v>
      </c>
      <c r="BN152" s="12">
        <f>AVERAGE(AT152:BK152)</f>
        <v>5.75</v>
      </c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2"/>
      <c r="CC152" s="13">
        <f t="shared" si="63"/>
        <v>0</v>
      </c>
      <c r="CD152" s="6"/>
      <c r="CE152" s="6"/>
      <c r="CF152" s="6"/>
      <c r="CG152" s="6"/>
      <c r="CH152" s="6"/>
      <c r="CI152" s="6"/>
      <c r="CJ152" s="13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</row>
    <row r="153" spans="1:160" x14ac:dyDescent="0.3">
      <c r="A153" s="6" t="s">
        <v>331</v>
      </c>
      <c r="B153" s="10" t="s">
        <v>305</v>
      </c>
      <c r="C153" s="10" t="s">
        <v>332</v>
      </c>
      <c r="D153" s="6" t="s">
        <v>332</v>
      </c>
      <c r="E153" s="7">
        <v>7.9378599999999997</v>
      </c>
      <c r="F153" s="7">
        <v>12.020187999999999</v>
      </c>
      <c r="G153" s="7"/>
      <c r="H153" s="7"/>
      <c r="I153" s="1"/>
      <c r="J153" s="1"/>
      <c r="K153" s="1"/>
      <c r="L153" s="1"/>
      <c r="M153" s="1"/>
      <c r="N153" s="1"/>
      <c r="O153" s="1"/>
      <c r="P153" s="1"/>
      <c r="Q153" s="12">
        <v>9.9790240000000008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>
        <f>AVERAGE(E153:P153)</f>
        <v>9.979023999999999</v>
      </c>
      <c r="AF153" s="1"/>
      <c r="AG153" s="1">
        <f>AVERAGE(AE153:AF153)</f>
        <v>9.979023999999999</v>
      </c>
      <c r="AH153" s="1">
        <v>12</v>
      </c>
      <c r="AI153" s="1">
        <v>14</v>
      </c>
      <c r="AJ153" s="1"/>
      <c r="AK153" s="1"/>
      <c r="AL153" s="1">
        <v>13</v>
      </c>
      <c r="AM153" s="1"/>
      <c r="AN153" s="1"/>
      <c r="AO153" s="1"/>
      <c r="AP153" s="1"/>
      <c r="AQ153" s="1">
        <f>AVERAGE(AH153:AK153)</f>
        <v>13</v>
      </c>
      <c r="AR153" s="1"/>
      <c r="AS153" s="12">
        <f>AVERAGE(AN153:AQ153)</f>
        <v>13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>
        <v>4</v>
      </c>
      <c r="BK153" s="1">
        <v>3.5</v>
      </c>
      <c r="BL153" s="1"/>
      <c r="BM153" s="1"/>
      <c r="BN153" s="12">
        <f>AVERAGE(AT153:BK153)</f>
        <v>3.75</v>
      </c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2"/>
      <c r="CC153" s="13">
        <f t="shared" si="63"/>
        <v>0</v>
      </c>
      <c r="CD153" s="6"/>
      <c r="CE153" s="6"/>
      <c r="CF153" s="6"/>
      <c r="CG153" s="6"/>
      <c r="CH153" s="6"/>
      <c r="CI153" s="6"/>
      <c r="CJ153" s="13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</row>
    <row r="154" spans="1:160" x14ac:dyDescent="0.3">
      <c r="A154" s="6" t="s">
        <v>333</v>
      </c>
      <c r="B154" s="10" t="s">
        <v>305</v>
      </c>
      <c r="C154" s="10" t="s">
        <v>334</v>
      </c>
      <c r="D154" s="6" t="s">
        <v>334</v>
      </c>
      <c r="E154" s="7"/>
      <c r="F154" s="7"/>
      <c r="G154" s="7">
        <v>15</v>
      </c>
      <c r="H154" s="7">
        <v>18</v>
      </c>
      <c r="I154" s="1">
        <v>14.968536</v>
      </c>
      <c r="J154" s="1">
        <v>18.14368</v>
      </c>
      <c r="K154" s="1"/>
      <c r="L154" s="1"/>
      <c r="M154" s="1"/>
      <c r="N154" s="1"/>
      <c r="O154" s="1"/>
      <c r="P154" s="1"/>
      <c r="Q154" s="12">
        <v>16.556107999999998</v>
      </c>
      <c r="R154" s="1">
        <v>16.556107999999998</v>
      </c>
      <c r="S154" s="1"/>
      <c r="T154" s="1">
        <v>16.5</v>
      </c>
      <c r="U154" s="1"/>
      <c r="V154" s="1"/>
      <c r="W154" s="1"/>
      <c r="X154" s="1"/>
      <c r="Y154" s="1"/>
      <c r="Z154" s="1"/>
      <c r="AA154" s="1"/>
      <c r="AB154" s="1">
        <v>17.350000000000001</v>
      </c>
      <c r="AC154" s="1"/>
      <c r="AD154" s="1"/>
      <c r="AE154" s="1">
        <f>AVERAGE(E154:P154)</f>
        <v>16.528054000000001</v>
      </c>
      <c r="AF154" s="1">
        <f>AVERAGE(X154:AD154)</f>
        <v>17.350000000000001</v>
      </c>
      <c r="AG154" s="1">
        <f>AVERAGE(AE154:AF154)</f>
        <v>16.939027000000003</v>
      </c>
      <c r="AH154" s="1">
        <v>12</v>
      </c>
      <c r="AI154" s="1">
        <v>15</v>
      </c>
      <c r="AJ154" s="1">
        <v>14</v>
      </c>
      <c r="AK154" s="1"/>
      <c r="AL154" s="1">
        <v>13.5</v>
      </c>
      <c r="AM154" s="1">
        <v>14</v>
      </c>
      <c r="AN154" s="1"/>
      <c r="AO154" s="1"/>
      <c r="AP154" s="1"/>
      <c r="AQ154" s="1">
        <f>AVERAGE(AH154:AK154)</f>
        <v>13.666666666666666</v>
      </c>
      <c r="AR154" s="1"/>
      <c r="AS154" s="12">
        <f>AVERAGE(AN154:AQ154)</f>
        <v>13.666666666666666</v>
      </c>
      <c r="AT154" s="1"/>
      <c r="AU154" s="1">
        <v>5.72</v>
      </c>
      <c r="AV154" s="1"/>
      <c r="AW154" s="1"/>
      <c r="AX154" s="1"/>
      <c r="AY154" s="1"/>
      <c r="AZ154" s="1">
        <v>4</v>
      </c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>
        <f>AVERAGE(AT154:AU154)</f>
        <v>5.72</v>
      </c>
      <c r="BM154" s="1">
        <f>AVERAGE(AV154:BI154)</f>
        <v>4</v>
      </c>
      <c r="BN154" s="12">
        <f>AVERAGE(AT154:BK154)</f>
        <v>4.8599999999999994</v>
      </c>
      <c r="BO154" s="1"/>
      <c r="BP154" s="1"/>
      <c r="BQ154" s="1">
        <v>283.495</v>
      </c>
      <c r="BR154" s="1"/>
      <c r="BS154" s="1"/>
      <c r="BT154" s="1"/>
      <c r="BU154" s="1"/>
      <c r="BV154" s="1"/>
      <c r="BW154" s="1"/>
      <c r="BX154" s="1">
        <v>283.495</v>
      </c>
      <c r="BY154" s="1"/>
      <c r="BZ154" s="1"/>
      <c r="CA154" s="1">
        <f>AVERAGE(BQ154:BU154)</f>
        <v>283.495</v>
      </c>
      <c r="CB154" s="12">
        <f>CA154/1000</f>
        <v>0.283495</v>
      </c>
      <c r="CC154" s="13">
        <f t="shared" si="63"/>
        <v>1.3777856999999998</v>
      </c>
      <c r="CD154" s="6"/>
      <c r="CE154" s="6"/>
      <c r="CF154" s="6"/>
      <c r="CG154" s="6"/>
      <c r="CH154" s="6"/>
      <c r="CI154" s="6"/>
      <c r="CJ154" s="13">
        <f>((Q154-CB154)/CB154)*100</f>
        <v>5740</v>
      </c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</row>
    <row r="155" spans="1:160" x14ac:dyDescent="0.3">
      <c r="A155" s="6" t="s">
        <v>335</v>
      </c>
      <c r="B155" s="10" t="s">
        <v>305</v>
      </c>
      <c r="C155" s="10" t="s">
        <v>336</v>
      </c>
      <c r="D155" s="6" t="s">
        <v>336</v>
      </c>
      <c r="E155" s="7"/>
      <c r="F155" s="7"/>
      <c r="G155" s="7"/>
      <c r="H155" s="7"/>
      <c r="I155" s="1"/>
      <c r="J155" s="1"/>
      <c r="K155" s="1"/>
      <c r="L155" s="1"/>
      <c r="M155" s="1"/>
      <c r="N155" s="1"/>
      <c r="O155" s="1"/>
      <c r="P155" s="1"/>
      <c r="Q155" s="1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2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2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2"/>
      <c r="CC155" s="13">
        <f t="shared" si="63"/>
        <v>0</v>
      </c>
      <c r="CD155" s="6"/>
      <c r="CE155" s="6"/>
      <c r="CF155" s="6"/>
      <c r="CG155" s="6"/>
      <c r="CH155" s="6"/>
      <c r="CI155" s="6"/>
      <c r="CJ155" s="13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</row>
    <row r="156" spans="1:160" x14ac:dyDescent="0.3">
      <c r="A156" s="6" t="s">
        <v>337</v>
      </c>
      <c r="B156" s="10" t="s">
        <v>305</v>
      </c>
      <c r="C156" s="10" t="s">
        <v>338</v>
      </c>
      <c r="D156" s="6" t="s">
        <v>338</v>
      </c>
      <c r="E156" s="7"/>
      <c r="F156" s="7"/>
      <c r="G156" s="7"/>
      <c r="H156" s="7"/>
      <c r="I156" s="1"/>
      <c r="J156" s="1"/>
      <c r="K156" s="1"/>
      <c r="L156" s="1"/>
      <c r="M156" s="1"/>
      <c r="N156" s="1"/>
      <c r="O156" s="1"/>
      <c r="P156" s="1"/>
      <c r="Q156" s="1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2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2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2"/>
      <c r="CC156" s="13">
        <f t="shared" si="63"/>
        <v>0</v>
      </c>
      <c r="CD156" s="6"/>
      <c r="CE156" s="6"/>
      <c r="CF156" s="6"/>
      <c r="CG156" s="6"/>
      <c r="CH156" s="6"/>
      <c r="CI156" s="6"/>
      <c r="CJ156" s="13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</row>
    <row r="157" spans="1:160" x14ac:dyDescent="0.3">
      <c r="A157" s="6" t="s">
        <v>339</v>
      </c>
      <c r="B157" s="10" t="s">
        <v>305</v>
      </c>
      <c r="C157" s="10" t="s">
        <v>340</v>
      </c>
      <c r="D157" s="6" t="s">
        <v>340</v>
      </c>
      <c r="E157" s="7">
        <v>3.175144</v>
      </c>
      <c r="F157" s="7"/>
      <c r="G157" s="7">
        <v>2</v>
      </c>
      <c r="H157" s="7">
        <v>3</v>
      </c>
      <c r="I157" s="1"/>
      <c r="J157" s="1"/>
      <c r="K157" s="1"/>
      <c r="L157" s="1"/>
      <c r="M157" s="1"/>
      <c r="N157" s="1"/>
      <c r="O157" s="1"/>
      <c r="P157" s="1"/>
      <c r="Q157" s="12">
        <v>3.175144</v>
      </c>
      <c r="R157" s="1"/>
      <c r="S157" s="1"/>
      <c r="T157" s="1">
        <v>2.5</v>
      </c>
      <c r="U157" s="1"/>
      <c r="V157" s="1"/>
      <c r="W157" s="1">
        <f>AVERAGE(X157:Y157)</f>
        <v>3.5</v>
      </c>
      <c r="X157" s="1">
        <v>3.5</v>
      </c>
      <c r="Y157" s="1"/>
      <c r="Z157" s="1"/>
      <c r="AA157" s="1">
        <v>2</v>
      </c>
      <c r="AB157" s="1"/>
      <c r="AC157" s="1"/>
      <c r="AD157" s="1">
        <v>5.44</v>
      </c>
      <c r="AE157" s="1">
        <f>AVERAGE(E157:P157)</f>
        <v>2.7250479999999997</v>
      </c>
      <c r="AF157" s="1">
        <f>AVERAGE(X157:AD157)</f>
        <v>3.6466666666666669</v>
      </c>
      <c r="AG157" s="1">
        <f>AVERAGE(AE157:AF157)</f>
        <v>3.1858573333333333</v>
      </c>
      <c r="AH157" s="1">
        <v>12</v>
      </c>
      <c r="AI157" s="1">
        <v>15</v>
      </c>
      <c r="AJ157" s="1">
        <v>13</v>
      </c>
      <c r="AK157" s="1">
        <v>15</v>
      </c>
      <c r="AL157" s="1">
        <v>13.5</v>
      </c>
      <c r="AM157" s="1">
        <v>14</v>
      </c>
      <c r="AN157" s="1"/>
      <c r="AO157" s="1"/>
      <c r="AP157" s="1"/>
      <c r="AQ157" s="1">
        <f>AVERAGE(AH157:AK157)</f>
        <v>13.75</v>
      </c>
      <c r="AR157" s="1"/>
      <c r="AS157" s="12">
        <f>AVERAGE(AN157:AQ157)</f>
        <v>13.75</v>
      </c>
      <c r="AT157" s="1">
        <v>3.5</v>
      </c>
      <c r="AU157" s="1"/>
      <c r="AV157" s="1"/>
      <c r="AW157" s="1"/>
      <c r="AX157" s="1"/>
      <c r="AY157" s="1"/>
      <c r="AZ157" s="1">
        <v>2.1</v>
      </c>
      <c r="BA157" s="1"/>
      <c r="BB157" s="1"/>
      <c r="BC157" s="1"/>
      <c r="BD157" s="1"/>
      <c r="BE157" s="1">
        <v>3</v>
      </c>
      <c r="BF157" s="1">
        <v>5.71</v>
      </c>
      <c r="BG157" s="1"/>
      <c r="BH157" s="1"/>
      <c r="BI157" s="1"/>
      <c r="BJ157" s="1"/>
      <c r="BK157" s="1"/>
      <c r="BL157" s="1">
        <f>AVERAGE(AT157:AU157)</f>
        <v>3.5</v>
      </c>
      <c r="BM157" s="1">
        <f>AVERAGE(AV157:BI157)</f>
        <v>3.6033333333333331</v>
      </c>
      <c r="BN157" s="12">
        <f>AVERAGE(AT157:BK157)</f>
        <v>3.5774999999999997</v>
      </c>
      <c r="BO157" s="1"/>
      <c r="BP157" s="1"/>
      <c r="BQ157" s="1">
        <v>113.398</v>
      </c>
      <c r="BR157" s="1">
        <v>142</v>
      </c>
      <c r="BS157" s="1"/>
      <c r="BT157" s="1">
        <v>110</v>
      </c>
      <c r="BU157" s="1"/>
      <c r="BV157" s="1">
        <v>142</v>
      </c>
      <c r="BW157" s="1"/>
      <c r="BX157" s="1">
        <v>113.398</v>
      </c>
      <c r="BY157" s="1">
        <f>AVERAGE(BR157:BU157)</f>
        <v>126</v>
      </c>
      <c r="BZ157" s="1">
        <f>BY157/1000</f>
        <v>0.126</v>
      </c>
      <c r="CA157" s="1">
        <f>AVERAGE(BQ157:BU157)</f>
        <v>121.79933333333334</v>
      </c>
      <c r="CB157" s="12">
        <f>CA157/1000</f>
        <v>0.12179933333333334</v>
      </c>
      <c r="CC157" s="13">
        <f t="shared" si="63"/>
        <v>0.43573711500000001</v>
      </c>
      <c r="CD157" s="6"/>
      <c r="CE157" s="6"/>
      <c r="CF157" s="6"/>
      <c r="CG157" s="6"/>
      <c r="CH157" s="6"/>
      <c r="CI157" s="6"/>
      <c r="CJ157" s="13">
        <f>((Q157-CB157)/CB157)*100</f>
        <v>2506.8648432667937</v>
      </c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</row>
    <row r="158" spans="1:160" x14ac:dyDescent="0.3">
      <c r="A158" s="6" t="s">
        <v>341</v>
      </c>
      <c r="B158" s="10" t="s">
        <v>305</v>
      </c>
      <c r="C158" s="10" t="s">
        <v>342</v>
      </c>
      <c r="D158" s="6" t="s">
        <v>342</v>
      </c>
      <c r="E158" s="7">
        <v>5.4431039999999999</v>
      </c>
      <c r="F158" s="7">
        <v>5.4431039999999999</v>
      </c>
      <c r="G158" s="7">
        <v>3</v>
      </c>
      <c r="H158" s="7">
        <v>5.5</v>
      </c>
      <c r="I158" s="1"/>
      <c r="J158" s="1"/>
      <c r="K158" s="1"/>
      <c r="L158" s="1"/>
      <c r="M158" s="1"/>
      <c r="N158" s="1"/>
      <c r="O158" s="1"/>
      <c r="P158" s="1"/>
      <c r="Q158" s="12">
        <v>5.4431039999999999</v>
      </c>
      <c r="R158" s="1"/>
      <c r="S158" s="1"/>
      <c r="T158" s="1">
        <v>4.25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>
        <f>AVERAGE(E158:P158)</f>
        <v>4.846552</v>
      </c>
      <c r="AF158" s="1"/>
      <c r="AG158" s="1">
        <f>AVERAGE(AE158:AF158)</f>
        <v>4.846552</v>
      </c>
      <c r="AH158" s="1">
        <v>15</v>
      </c>
      <c r="AI158" s="1">
        <v>17</v>
      </c>
      <c r="AJ158" s="1">
        <v>14</v>
      </c>
      <c r="AK158" s="1">
        <v>15</v>
      </c>
      <c r="AL158" s="1">
        <v>16</v>
      </c>
      <c r="AM158" s="1">
        <v>14.5</v>
      </c>
      <c r="AN158" s="1"/>
      <c r="AO158" s="1"/>
      <c r="AP158" s="1"/>
      <c r="AQ158" s="1">
        <f>AVERAGE(AH158:AK158)</f>
        <v>15.25</v>
      </c>
      <c r="AR158" s="1"/>
      <c r="AS158" s="12">
        <f>AVERAGE(AN158:AQ158)</f>
        <v>15.25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>
        <v>3</v>
      </c>
      <c r="BK158" s="1">
        <v>4.5</v>
      </c>
      <c r="BL158" s="1"/>
      <c r="BM158" s="1"/>
      <c r="BN158" s="12">
        <f>AVERAGE(AT158:BK158)</f>
        <v>3.75</v>
      </c>
      <c r="BO158" s="1"/>
      <c r="BP158" s="1"/>
      <c r="BQ158" s="1">
        <v>155.92224999999999</v>
      </c>
      <c r="BR158" s="1"/>
      <c r="BS158" s="1"/>
      <c r="BT158" s="1"/>
      <c r="BU158" s="1"/>
      <c r="BV158" s="1"/>
      <c r="BW158" s="1"/>
      <c r="BX158" s="1">
        <v>155.92224999999999</v>
      </c>
      <c r="BY158" s="1"/>
      <c r="BZ158" s="1"/>
      <c r="CA158" s="1">
        <f>AVERAGE(BQ158:BU158)</f>
        <v>155.92224999999999</v>
      </c>
      <c r="CB158" s="12">
        <f>CA158/1000</f>
        <v>0.15592224999999998</v>
      </c>
      <c r="CC158" s="13">
        <f t="shared" si="63"/>
        <v>0.5847084374999999</v>
      </c>
      <c r="CD158" s="6"/>
      <c r="CE158" s="6"/>
      <c r="CF158" s="6"/>
      <c r="CG158" s="6"/>
      <c r="CH158" s="6"/>
      <c r="CI158" s="6"/>
      <c r="CJ158" s="13">
        <f>((Q158-CB158)/CB158)*100</f>
        <v>3390.9090909090914</v>
      </c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</row>
    <row r="159" spans="1:160" x14ac:dyDescent="0.3">
      <c r="A159" s="6" t="s">
        <v>343</v>
      </c>
      <c r="B159" s="10" t="s">
        <v>305</v>
      </c>
      <c r="C159" s="10" t="s">
        <v>344</v>
      </c>
      <c r="D159" s="6" t="s">
        <v>344</v>
      </c>
      <c r="E159" s="7">
        <v>6.8038800000000004</v>
      </c>
      <c r="F159" s="7">
        <v>13.607760000000001</v>
      </c>
      <c r="G159" s="7">
        <v>6</v>
      </c>
      <c r="H159" s="7">
        <v>10</v>
      </c>
      <c r="I159" s="1"/>
      <c r="J159" s="1"/>
      <c r="K159" s="1"/>
      <c r="L159" s="1"/>
      <c r="M159" s="1"/>
      <c r="N159" s="1"/>
      <c r="O159" s="1"/>
      <c r="P159" s="1"/>
      <c r="Q159" s="12">
        <v>10.205819999999999</v>
      </c>
      <c r="R159" s="1"/>
      <c r="S159" s="1"/>
      <c r="T159" s="1">
        <v>8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>
        <f>AVERAGE(E159:P159)</f>
        <v>9.1029100000000014</v>
      </c>
      <c r="AF159" s="1"/>
      <c r="AG159" s="1">
        <f>AVERAGE(AE159:AF159)</f>
        <v>9.1029100000000014</v>
      </c>
      <c r="AH159" s="1">
        <v>13</v>
      </c>
      <c r="AI159" s="1">
        <v>18</v>
      </c>
      <c r="AJ159" s="1">
        <v>12</v>
      </c>
      <c r="AK159" s="1">
        <v>15</v>
      </c>
      <c r="AL159" s="1">
        <v>15.5</v>
      </c>
      <c r="AM159" s="1">
        <v>13.5</v>
      </c>
      <c r="AN159" s="1"/>
      <c r="AO159" s="1"/>
      <c r="AP159" s="1"/>
      <c r="AQ159" s="1">
        <f>AVERAGE(AH159:AK159)</f>
        <v>14.5</v>
      </c>
      <c r="AR159" s="1"/>
      <c r="AS159" s="12">
        <f>AVERAGE(AN159:AQ159)</f>
        <v>14.5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2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2"/>
      <c r="CC159" s="13">
        <f t="shared" si="63"/>
        <v>0</v>
      </c>
      <c r="CD159" s="6"/>
      <c r="CE159" s="6"/>
      <c r="CF159" s="6"/>
      <c r="CG159" s="6"/>
      <c r="CH159" s="6"/>
      <c r="CI159" s="6"/>
      <c r="CJ159" s="13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</row>
    <row r="160" spans="1:160" x14ac:dyDescent="0.3">
      <c r="A160" s="6" t="s">
        <v>345</v>
      </c>
      <c r="B160" s="10" t="s">
        <v>305</v>
      </c>
      <c r="C160" s="10" t="s">
        <v>346</v>
      </c>
      <c r="D160" s="6" t="s">
        <v>346</v>
      </c>
      <c r="E160" s="7"/>
      <c r="F160" s="7"/>
      <c r="G160" s="7"/>
      <c r="H160" s="7"/>
      <c r="I160" s="1"/>
      <c r="J160" s="1"/>
      <c r="K160" s="1">
        <v>68</v>
      </c>
      <c r="L160" s="1"/>
      <c r="M160" s="1"/>
      <c r="N160" s="1"/>
      <c r="O160" s="1">
        <v>50</v>
      </c>
      <c r="P160" s="1"/>
      <c r="Q160" s="12"/>
      <c r="R160" s="1"/>
      <c r="S160" s="1"/>
      <c r="T160" s="1">
        <v>59</v>
      </c>
      <c r="U160" s="1">
        <v>68</v>
      </c>
      <c r="V160" s="1">
        <v>50</v>
      </c>
      <c r="W160" s="1">
        <f>AVERAGE(X160:Y160)</f>
        <v>72.569999999999993</v>
      </c>
      <c r="X160" s="1">
        <v>72.569999999999993</v>
      </c>
      <c r="Y160" s="1"/>
      <c r="Z160" s="1"/>
      <c r="AA160" s="1"/>
      <c r="AB160" s="1"/>
      <c r="AC160" s="1"/>
      <c r="AD160" s="1"/>
      <c r="AE160" s="1">
        <f>AVERAGE(E160:P160)</f>
        <v>59</v>
      </c>
      <c r="AF160" s="1">
        <f>AVERAGE(X160:AD160)</f>
        <v>72.569999999999993</v>
      </c>
      <c r="AG160" s="1">
        <f>AVERAGE(AE160:AF160)</f>
        <v>65.784999999999997</v>
      </c>
      <c r="AH160" s="1">
        <v>7</v>
      </c>
      <c r="AI160" s="1">
        <v>9</v>
      </c>
      <c r="AJ160" s="1">
        <v>8</v>
      </c>
      <c r="AK160" s="1">
        <v>10</v>
      </c>
      <c r="AL160" s="1">
        <v>8</v>
      </c>
      <c r="AM160" s="1">
        <v>9</v>
      </c>
      <c r="AN160" s="1"/>
      <c r="AO160" s="1"/>
      <c r="AP160" s="1"/>
      <c r="AQ160" s="1">
        <f>AVERAGE(AH160:AK160)</f>
        <v>8.5</v>
      </c>
      <c r="AR160" s="1"/>
      <c r="AS160" s="12">
        <f>AVERAGE(AN160:AQ160)</f>
        <v>8.5</v>
      </c>
      <c r="AT160" s="1"/>
      <c r="AU160" s="1"/>
      <c r="AV160" s="1"/>
      <c r="AW160" s="1"/>
      <c r="AX160" s="1"/>
      <c r="AY160" s="1"/>
      <c r="AZ160" s="1">
        <v>7.5</v>
      </c>
      <c r="BA160" s="1"/>
      <c r="BB160" s="1"/>
      <c r="BC160" s="1"/>
      <c r="BD160" s="1"/>
      <c r="BE160" s="1">
        <v>8</v>
      </c>
      <c r="BF160" s="1"/>
      <c r="BG160" s="1"/>
      <c r="BH160" s="1"/>
      <c r="BI160" s="1"/>
      <c r="BJ160" s="1"/>
      <c r="BK160" s="1"/>
      <c r="BL160" s="1"/>
      <c r="BM160" s="1">
        <f>AVERAGE(AV160:BI160)</f>
        <v>7.75</v>
      </c>
      <c r="BN160" s="12">
        <f>AVERAGE(AT160:BK160)</f>
        <v>7.75</v>
      </c>
      <c r="BO160" s="1"/>
      <c r="BP160" s="1"/>
      <c r="BQ160" s="1"/>
      <c r="BR160" s="1">
        <v>900</v>
      </c>
      <c r="BS160" s="1"/>
      <c r="BT160" s="1">
        <v>790</v>
      </c>
      <c r="BU160" s="1"/>
      <c r="BV160" s="1">
        <v>900</v>
      </c>
      <c r="BW160" s="1"/>
      <c r="BX160" s="1"/>
      <c r="BY160" s="1">
        <f>AVERAGE(BR160:BU160)</f>
        <v>845</v>
      </c>
      <c r="BZ160" s="1">
        <f>BY160/1000</f>
        <v>0.84499999999999997</v>
      </c>
      <c r="CA160" s="1">
        <f>AVERAGE(BQ160:BU160)</f>
        <v>845</v>
      </c>
      <c r="CB160" s="12">
        <f>CA160/1000</f>
        <v>0.84499999999999997</v>
      </c>
      <c r="CC160" s="13">
        <f t="shared" si="63"/>
        <v>6.5487500000000001</v>
      </c>
      <c r="CD160" s="6"/>
      <c r="CE160" s="6"/>
      <c r="CF160" s="6"/>
      <c r="CG160" s="6"/>
      <c r="CH160" s="6"/>
      <c r="CI160" s="6"/>
      <c r="CJ160" s="13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</row>
    <row r="161" spans="1:160" x14ac:dyDescent="0.3">
      <c r="A161" s="6" t="s">
        <v>347</v>
      </c>
      <c r="B161" s="10" t="s">
        <v>305</v>
      </c>
      <c r="C161" s="10" t="s">
        <v>348</v>
      </c>
      <c r="D161" s="6" t="s">
        <v>348</v>
      </c>
      <c r="E161" s="7"/>
      <c r="F161" s="7"/>
      <c r="G161" s="7"/>
      <c r="H161" s="7"/>
      <c r="I161" s="1"/>
      <c r="J161" s="1"/>
      <c r="K161" s="1"/>
      <c r="L161" s="1"/>
      <c r="M161" s="1"/>
      <c r="N161" s="1"/>
      <c r="O161" s="1"/>
      <c r="P161" s="1"/>
      <c r="Q161" s="1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2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2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2"/>
      <c r="CC161" s="13">
        <f t="shared" si="63"/>
        <v>0</v>
      </c>
      <c r="CD161" s="6"/>
      <c r="CE161" s="6"/>
      <c r="CF161" s="6"/>
      <c r="CG161" s="6"/>
      <c r="CH161" s="6"/>
      <c r="CI161" s="6"/>
      <c r="CJ161" s="13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</row>
    <row r="162" spans="1:160" x14ac:dyDescent="0.3">
      <c r="A162" s="6" t="s">
        <v>349</v>
      </c>
      <c r="B162" s="10" t="s">
        <v>305</v>
      </c>
      <c r="C162" s="10" t="s">
        <v>350</v>
      </c>
      <c r="D162" s="6" t="s">
        <v>350</v>
      </c>
      <c r="E162" s="7">
        <v>6.3502879999999999</v>
      </c>
      <c r="F162" s="7"/>
      <c r="G162" s="7">
        <v>6</v>
      </c>
      <c r="H162" s="7"/>
      <c r="I162" s="1"/>
      <c r="J162" s="1"/>
      <c r="K162" s="1"/>
      <c r="L162" s="1"/>
      <c r="M162" s="1"/>
      <c r="N162" s="1"/>
      <c r="O162" s="1"/>
      <c r="P162" s="1"/>
      <c r="Q162" s="12">
        <v>6.3502879999999999</v>
      </c>
      <c r="R162" s="1"/>
      <c r="S162" s="1"/>
      <c r="T162" s="1">
        <v>6</v>
      </c>
      <c r="U162" s="1"/>
      <c r="V162" s="1"/>
      <c r="W162" s="1"/>
      <c r="X162" s="1"/>
      <c r="Y162" s="1"/>
      <c r="Z162" s="1"/>
      <c r="AA162" s="1">
        <v>4</v>
      </c>
      <c r="AB162" s="1">
        <v>4.8579999999999997</v>
      </c>
      <c r="AC162" s="1"/>
      <c r="AD162" s="1">
        <v>5.44</v>
      </c>
      <c r="AE162" s="1">
        <f>AVERAGE(E162:P162)</f>
        <v>6.1751439999999995</v>
      </c>
      <c r="AF162" s="1">
        <f>AVERAGE(X162:AD162)</f>
        <v>4.7660000000000009</v>
      </c>
      <c r="AG162" s="1">
        <f>AVERAGE(AE162:AF162)</f>
        <v>5.4705720000000007</v>
      </c>
      <c r="AH162" s="1">
        <v>12</v>
      </c>
      <c r="AI162" s="1">
        <v>14</v>
      </c>
      <c r="AJ162" s="1">
        <v>12</v>
      </c>
      <c r="AK162" s="1">
        <v>13</v>
      </c>
      <c r="AL162" s="1">
        <v>13</v>
      </c>
      <c r="AM162" s="1">
        <v>12.5</v>
      </c>
      <c r="AN162" s="1"/>
      <c r="AO162" s="1"/>
      <c r="AP162" s="1">
        <v>13.3</v>
      </c>
      <c r="AQ162" s="1">
        <f>AVERAGE(AH162:AK162)</f>
        <v>12.75</v>
      </c>
      <c r="AR162" s="1">
        <f>AVERAGE(AN162:AP162)</f>
        <v>13.3</v>
      </c>
      <c r="AS162" s="12">
        <f>AVERAGE(AN162:AQ162)</f>
        <v>13.025</v>
      </c>
      <c r="AT162" s="1">
        <v>3</v>
      </c>
      <c r="AU162" s="1"/>
      <c r="AV162" s="1"/>
      <c r="AW162" s="1"/>
      <c r="AX162" s="1"/>
      <c r="AY162" s="1"/>
      <c r="AZ162" s="1">
        <v>3.1</v>
      </c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>
        <f>AVERAGE(AT162:AU162)</f>
        <v>3</v>
      </c>
      <c r="BM162" s="1">
        <f>AVERAGE(AV162:BI162)</f>
        <v>3.1</v>
      </c>
      <c r="BN162" s="12">
        <f>AVERAGE(AT162:BK162)</f>
        <v>3.05</v>
      </c>
      <c r="BO162" s="1"/>
      <c r="BP162" s="1"/>
      <c r="BQ162" s="1">
        <v>141.7475</v>
      </c>
      <c r="BR162" s="1"/>
      <c r="BS162" s="1"/>
      <c r="BT162" s="1"/>
      <c r="BU162" s="1"/>
      <c r="BV162" s="1"/>
      <c r="BW162" s="1"/>
      <c r="BX162" s="1">
        <v>141.7475</v>
      </c>
      <c r="BY162" s="1"/>
      <c r="BZ162" s="1"/>
      <c r="CA162" s="1">
        <f>AVERAGE(BQ162:BU162)</f>
        <v>141.7475</v>
      </c>
      <c r="CB162" s="12">
        <f>CA162/1000</f>
        <v>0.1417475</v>
      </c>
      <c r="CC162" s="13">
        <f t="shared" ref="CC162:CC225" si="78">CB162*BN162</f>
        <v>0.43232987499999997</v>
      </c>
      <c r="CD162" s="6"/>
      <c r="CE162" s="6"/>
      <c r="CF162" s="6"/>
      <c r="CG162" s="6"/>
      <c r="CH162" s="6"/>
      <c r="CI162" s="6"/>
      <c r="CJ162" s="13">
        <f>((Q162-CB162)/CB162)*100</f>
        <v>4380</v>
      </c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</row>
    <row r="163" spans="1:160" x14ac:dyDescent="0.3">
      <c r="A163" s="6" t="s">
        <v>351</v>
      </c>
      <c r="B163" s="10" t="s">
        <v>305</v>
      </c>
      <c r="C163" s="10" t="s">
        <v>352</v>
      </c>
      <c r="D163" s="6" t="s">
        <v>352</v>
      </c>
      <c r="E163" s="7">
        <v>4.53592</v>
      </c>
      <c r="F163" s="7">
        <v>11.3398</v>
      </c>
      <c r="G163" s="7"/>
      <c r="H163" s="7"/>
      <c r="I163" s="1"/>
      <c r="J163" s="1"/>
      <c r="K163" s="1"/>
      <c r="L163" s="1"/>
      <c r="M163" s="1"/>
      <c r="N163" s="1"/>
      <c r="O163" s="1"/>
      <c r="P163" s="1"/>
      <c r="Q163" s="12">
        <v>7.9378599999999997</v>
      </c>
      <c r="R163" s="1"/>
      <c r="S163" s="1"/>
      <c r="T163" s="1"/>
      <c r="U163" s="1"/>
      <c r="V163" s="1"/>
      <c r="W163" s="1">
        <f>AVERAGE(X163:Y163)</f>
        <v>10.75</v>
      </c>
      <c r="X163" s="1">
        <v>10.75</v>
      </c>
      <c r="Y163" s="1"/>
      <c r="Z163" s="1"/>
      <c r="AA163" s="1"/>
      <c r="AB163" s="1"/>
      <c r="AC163" s="1"/>
      <c r="AD163" s="1"/>
      <c r="AE163" s="1">
        <f>AVERAGE(E163:P163)</f>
        <v>7.9378600000000006</v>
      </c>
      <c r="AF163" s="1">
        <f>AVERAGE(X163:AD163)</f>
        <v>10.75</v>
      </c>
      <c r="AG163" s="1">
        <f>AVERAGE(AE163:AF163)</f>
        <v>9.3439300000000003</v>
      </c>
      <c r="AH163" s="1">
        <v>12</v>
      </c>
      <c r="AI163" s="1">
        <v>18</v>
      </c>
      <c r="AJ163" s="1"/>
      <c r="AK163" s="1"/>
      <c r="AL163" s="1">
        <v>15</v>
      </c>
      <c r="AM163" s="1"/>
      <c r="AN163" s="1"/>
      <c r="AO163" s="1"/>
      <c r="AP163" s="1"/>
      <c r="AQ163" s="1">
        <f>AVERAGE(AH163:AK163)</f>
        <v>15</v>
      </c>
      <c r="AR163" s="1"/>
      <c r="AS163" s="12">
        <f>AVERAGE(AN163:AQ163)</f>
        <v>15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>
        <v>6</v>
      </c>
      <c r="BK163" s="1">
        <v>3</v>
      </c>
      <c r="BL163" s="1"/>
      <c r="BM163" s="1"/>
      <c r="BN163" s="12">
        <f>AVERAGE(AT163:BK163)</f>
        <v>4.5</v>
      </c>
      <c r="BO163" s="1"/>
      <c r="BP163" s="1"/>
      <c r="BQ163" s="1"/>
      <c r="BR163" s="1">
        <v>227</v>
      </c>
      <c r="BS163" s="1"/>
      <c r="BT163" s="1"/>
      <c r="BU163" s="1"/>
      <c r="BV163" s="1">
        <v>227</v>
      </c>
      <c r="BW163" s="1"/>
      <c r="BX163" s="1"/>
      <c r="BY163" s="1">
        <f>AVERAGE(BR163:BU163)</f>
        <v>227</v>
      </c>
      <c r="BZ163" s="1">
        <f>BY163/1000</f>
        <v>0.22700000000000001</v>
      </c>
      <c r="CA163" s="1">
        <f>AVERAGE(BQ163:BU163)</f>
        <v>227</v>
      </c>
      <c r="CB163" s="12">
        <f>CA163/1000</f>
        <v>0.22700000000000001</v>
      </c>
      <c r="CC163" s="13">
        <f t="shared" si="78"/>
        <v>1.0215000000000001</v>
      </c>
      <c r="CD163" s="6"/>
      <c r="CE163" s="6"/>
      <c r="CF163" s="6"/>
      <c r="CG163" s="6"/>
      <c r="CH163" s="6"/>
      <c r="CI163" s="6"/>
      <c r="CJ163" s="13">
        <f>((Q163-CB163)/CB163)*100</f>
        <v>3396.8546255506603</v>
      </c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</row>
    <row r="164" spans="1:160" x14ac:dyDescent="0.3">
      <c r="A164" s="6" t="s">
        <v>353</v>
      </c>
      <c r="B164" s="10" t="s">
        <v>305</v>
      </c>
      <c r="C164" s="10" t="s">
        <v>354</v>
      </c>
      <c r="D164" s="6" t="s">
        <v>354</v>
      </c>
      <c r="E164" s="7">
        <v>20.411639999999998</v>
      </c>
      <c r="F164" s="7">
        <v>31.751439999999999</v>
      </c>
      <c r="G164" s="7">
        <v>23</v>
      </c>
      <c r="H164" s="7">
        <v>32</v>
      </c>
      <c r="I164" s="1"/>
      <c r="J164" s="1"/>
      <c r="K164" s="1"/>
      <c r="L164" s="1"/>
      <c r="M164" s="1"/>
      <c r="N164" s="1"/>
      <c r="O164" s="1"/>
      <c r="P164" s="1"/>
      <c r="Q164" s="12">
        <v>26.08154</v>
      </c>
      <c r="R164" s="1"/>
      <c r="S164" s="1"/>
      <c r="T164" s="1">
        <v>27.5</v>
      </c>
      <c r="U164" s="1"/>
      <c r="V164" s="1"/>
      <c r="W164" s="1">
        <f>AVERAGE(X164:Y164)</f>
        <v>27.5</v>
      </c>
      <c r="X164" s="1">
        <v>27.5</v>
      </c>
      <c r="Y164" s="1"/>
      <c r="Z164" s="1"/>
      <c r="AA164" s="1"/>
      <c r="AB164" s="1"/>
      <c r="AC164" s="1"/>
      <c r="AD164" s="1"/>
      <c r="AE164" s="1">
        <f>AVERAGE(E164:P164)</f>
        <v>26.790769999999998</v>
      </c>
      <c r="AF164" s="1">
        <f>AVERAGE(X164:AD164)</f>
        <v>27.5</v>
      </c>
      <c r="AG164" s="1">
        <f>AVERAGE(AE164:AF164)</f>
        <v>27.145384999999997</v>
      </c>
      <c r="AH164" s="1">
        <v>12</v>
      </c>
      <c r="AI164" s="1">
        <v>15</v>
      </c>
      <c r="AJ164" s="1">
        <v>11</v>
      </c>
      <c r="AK164" s="1">
        <v>12</v>
      </c>
      <c r="AL164" s="1">
        <v>13.5</v>
      </c>
      <c r="AM164" s="1">
        <v>11.5</v>
      </c>
      <c r="AN164" s="1"/>
      <c r="AO164" s="1"/>
      <c r="AP164" s="1"/>
      <c r="AQ164" s="1">
        <f>AVERAGE(AH164:AK164)</f>
        <v>12.5</v>
      </c>
      <c r="AR164" s="1"/>
      <c r="AS164" s="12">
        <f>AVERAGE(AN164:AQ164)</f>
        <v>12.5</v>
      </c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>
        <v>8</v>
      </c>
      <c r="BK164" s="1">
        <v>8</v>
      </c>
      <c r="BL164" s="1"/>
      <c r="BM164" s="1"/>
      <c r="BN164" s="12">
        <f>AVERAGE(AT164:BK164)</f>
        <v>8</v>
      </c>
      <c r="BO164" s="1"/>
      <c r="BP164" s="1"/>
      <c r="BQ164" s="1"/>
      <c r="BR164" s="1">
        <v>439</v>
      </c>
      <c r="BS164" s="1"/>
      <c r="BT164" s="1"/>
      <c r="BU164" s="1"/>
      <c r="BV164" s="1">
        <v>439</v>
      </c>
      <c r="BW164" s="1"/>
      <c r="BX164" s="1"/>
      <c r="BY164" s="1">
        <f>AVERAGE(BR164:BU164)</f>
        <v>439</v>
      </c>
      <c r="BZ164" s="1">
        <f>BY164/1000</f>
        <v>0.439</v>
      </c>
      <c r="CA164" s="1">
        <f>AVERAGE(BQ164:BU164)</f>
        <v>439</v>
      </c>
      <c r="CB164" s="12">
        <f>CA164/1000</f>
        <v>0.439</v>
      </c>
      <c r="CC164" s="13">
        <f t="shared" si="78"/>
        <v>3.512</v>
      </c>
      <c r="CD164" s="6"/>
      <c r="CE164" s="6"/>
      <c r="CF164" s="6"/>
      <c r="CG164" s="6"/>
      <c r="CH164" s="6"/>
      <c r="CI164" s="6"/>
      <c r="CJ164" s="13">
        <f>((Q164-CB164)/CB164)*100</f>
        <v>5841.125284738041</v>
      </c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</row>
    <row r="165" spans="1:160" x14ac:dyDescent="0.3">
      <c r="A165" s="6" t="s">
        <v>355</v>
      </c>
      <c r="B165" s="10" t="s">
        <v>305</v>
      </c>
      <c r="C165" s="10" t="s">
        <v>356</v>
      </c>
      <c r="D165" s="6" t="s">
        <v>356</v>
      </c>
      <c r="E165" s="7"/>
      <c r="F165" s="7"/>
      <c r="G165" s="7">
        <v>1.5</v>
      </c>
      <c r="H165" s="7">
        <v>3</v>
      </c>
      <c r="I165" s="1"/>
      <c r="J165" s="1"/>
      <c r="K165" s="1"/>
      <c r="L165" s="1"/>
      <c r="M165" s="1"/>
      <c r="N165" s="1"/>
      <c r="O165" s="1"/>
      <c r="P165" s="1"/>
      <c r="Q165" s="12"/>
      <c r="R165" s="1"/>
      <c r="S165" s="1"/>
      <c r="T165" s="1">
        <v>2.25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>
        <f>AVERAGE(E165:P165)</f>
        <v>2.25</v>
      </c>
      <c r="AF165" s="1"/>
      <c r="AG165" s="1">
        <f>AVERAGE(AE165:AF165)</f>
        <v>2.25</v>
      </c>
      <c r="AH165" s="1">
        <v>13</v>
      </c>
      <c r="AI165" s="1">
        <v>15</v>
      </c>
      <c r="AJ165" s="1">
        <v>13</v>
      </c>
      <c r="AK165" s="1">
        <v>14</v>
      </c>
      <c r="AL165" s="1">
        <v>14</v>
      </c>
      <c r="AM165" s="1">
        <v>13.5</v>
      </c>
      <c r="AN165" s="1"/>
      <c r="AO165" s="1"/>
      <c r="AP165" s="1"/>
      <c r="AQ165" s="1">
        <f>AVERAGE(AH165:AK165)</f>
        <v>13.75</v>
      </c>
      <c r="AR165" s="1"/>
      <c r="AS165" s="12">
        <f>AVERAGE(AN165:AQ165)</f>
        <v>13.75</v>
      </c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>
        <v>4</v>
      </c>
      <c r="BK165" s="1"/>
      <c r="BL165" s="1"/>
      <c r="BM165" s="1"/>
      <c r="BN165" s="12">
        <f>AVERAGE(AT165:BK165)</f>
        <v>4</v>
      </c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2"/>
      <c r="CC165" s="13">
        <f t="shared" si="78"/>
        <v>0</v>
      </c>
      <c r="CD165" s="6"/>
      <c r="CE165" s="6"/>
      <c r="CF165" s="6"/>
      <c r="CG165" s="6"/>
      <c r="CH165" s="6"/>
      <c r="CI165" s="6"/>
      <c r="CJ165" s="13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</row>
    <row r="166" spans="1:160" x14ac:dyDescent="0.3">
      <c r="A166" s="6" t="s">
        <v>357</v>
      </c>
      <c r="B166" s="10" t="s">
        <v>305</v>
      </c>
      <c r="C166" s="10" t="s">
        <v>358</v>
      </c>
      <c r="D166" s="6" t="s">
        <v>358</v>
      </c>
      <c r="E166" s="7"/>
      <c r="F166" s="7"/>
      <c r="G166" s="7"/>
      <c r="H166" s="7"/>
      <c r="I166" s="1">
        <v>22.679600000000001</v>
      </c>
      <c r="J166" s="1">
        <v>31.751439999999999</v>
      </c>
      <c r="K166" s="1">
        <v>23</v>
      </c>
      <c r="L166" s="1">
        <v>27</v>
      </c>
      <c r="M166" s="1">
        <v>15.875719999999999</v>
      </c>
      <c r="N166" s="1">
        <v>22.679600000000001</v>
      </c>
      <c r="O166" s="1">
        <v>16</v>
      </c>
      <c r="P166" s="1">
        <v>23</v>
      </c>
      <c r="Q166" s="12">
        <v>23.246590000000001</v>
      </c>
      <c r="R166" s="1">
        <v>27.215520000000001</v>
      </c>
      <c r="S166" s="1">
        <v>19.277660000000001</v>
      </c>
      <c r="T166" s="1">
        <v>22.25</v>
      </c>
      <c r="U166" s="1">
        <v>25</v>
      </c>
      <c r="V166" s="1">
        <v>19.5</v>
      </c>
      <c r="W166" s="1"/>
      <c r="X166" s="1"/>
      <c r="Y166" s="1"/>
      <c r="Z166" s="1"/>
      <c r="AA166" s="1"/>
      <c r="AB166" s="1"/>
      <c r="AC166" s="1"/>
      <c r="AD166" s="1"/>
      <c r="AE166" s="1">
        <f>AVERAGE(E166:P166)</f>
        <v>22.748294999999999</v>
      </c>
      <c r="AF166" s="1"/>
      <c r="AG166" s="1">
        <f>AVERAGE(AE166:AF166)</f>
        <v>22.748294999999999</v>
      </c>
      <c r="AH166" s="1">
        <v>12</v>
      </c>
      <c r="AI166" s="1">
        <v>15</v>
      </c>
      <c r="AJ166" s="1">
        <v>10</v>
      </c>
      <c r="AK166" s="1">
        <v>13</v>
      </c>
      <c r="AL166" s="1">
        <v>13.5</v>
      </c>
      <c r="AM166" s="1">
        <v>11.5</v>
      </c>
      <c r="AN166" s="1"/>
      <c r="AO166" s="1"/>
      <c r="AP166" s="1"/>
      <c r="AQ166" s="1">
        <f>AVERAGE(AH166:AK166)</f>
        <v>12.5</v>
      </c>
      <c r="AR166" s="1"/>
      <c r="AS166" s="12">
        <f>AVERAGE(AN166:AQ166)</f>
        <v>12.5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>
        <v>7.5</v>
      </c>
      <c r="BK166" s="1">
        <v>8</v>
      </c>
      <c r="BL166" s="1"/>
      <c r="BM166" s="1"/>
      <c r="BN166" s="12">
        <f>AVERAGE(AT166:BK166)</f>
        <v>7.75</v>
      </c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2"/>
      <c r="CC166" s="13">
        <f t="shared" si="78"/>
        <v>0</v>
      </c>
      <c r="CD166" s="6"/>
      <c r="CE166" s="6"/>
      <c r="CF166" s="6"/>
      <c r="CG166" s="6"/>
      <c r="CH166" s="6"/>
      <c r="CI166" s="6"/>
      <c r="CJ166" s="13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</row>
    <row r="167" spans="1:160" x14ac:dyDescent="0.3">
      <c r="A167" s="6" t="s">
        <v>359</v>
      </c>
      <c r="B167" s="10" t="s">
        <v>305</v>
      </c>
      <c r="C167" s="10" t="s">
        <v>360</v>
      </c>
      <c r="D167" s="6" t="s">
        <v>360</v>
      </c>
      <c r="E167" s="7"/>
      <c r="F167" s="7"/>
      <c r="G167" s="7"/>
      <c r="H167" s="7"/>
      <c r="I167" s="1"/>
      <c r="J167" s="1"/>
      <c r="K167" s="1"/>
      <c r="L167" s="1"/>
      <c r="M167" s="1"/>
      <c r="N167" s="1"/>
      <c r="O167" s="1"/>
      <c r="P167" s="1"/>
      <c r="Q167" s="1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2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2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2"/>
      <c r="CC167" s="13">
        <f t="shared" si="78"/>
        <v>0</v>
      </c>
      <c r="CD167" s="6"/>
      <c r="CE167" s="6"/>
      <c r="CF167" s="6"/>
      <c r="CG167" s="6"/>
      <c r="CH167" s="6"/>
      <c r="CI167" s="6"/>
      <c r="CJ167" s="13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</row>
    <row r="168" spans="1:160" x14ac:dyDescent="0.3">
      <c r="A168" s="6" t="s">
        <v>361</v>
      </c>
      <c r="B168" s="10" t="s">
        <v>305</v>
      </c>
      <c r="C168" s="10" t="s">
        <v>362</v>
      </c>
      <c r="D168" s="6" t="s">
        <v>362</v>
      </c>
      <c r="E168" s="7">
        <v>13.607760000000001</v>
      </c>
      <c r="F168" s="7">
        <v>24.947559999999999</v>
      </c>
      <c r="G168" s="7">
        <v>9</v>
      </c>
      <c r="H168" s="7">
        <v>14</v>
      </c>
      <c r="I168" s="1"/>
      <c r="J168" s="1"/>
      <c r="K168" s="1"/>
      <c r="L168" s="1"/>
      <c r="M168" s="1"/>
      <c r="N168" s="1"/>
      <c r="O168" s="1"/>
      <c r="P168" s="1"/>
      <c r="Q168" s="12">
        <v>19.277660000000001</v>
      </c>
      <c r="R168" s="1"/>
      <c r="S168" s="1"/>
      <c r="T168" s="1">
        <v>11.5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>
        <f>AVERAGE(E168:P168)</f>
        <v>15.38883</v>
      </c>
      <c r="AF168" s="1"/>
      <c r="AG168" s="1">
        <f>AVERAGE(AE168:AF168)</f>
        <v>15.38883</v>
      </c>
      <c r="AH168" s="1">
        <v>13</v>
      </c>
      <c r="AI168" s="1">
        <v>18</v>
      </c>
      <c r="AJ168" s="1">
        <v>12</v>
      </c>
      <c r="AK168" s="1">
        <v>15</v>
      </c>
      <c r="AL168" s="1">
        <v>15.5</v>
      </c>
      <c r="AM168" s="1">
        <v>13.5</v>
      </c>
      <c r="AN168" s="1"/>
      <c r="AO168" s="1"/>
      <c r="AP168" s="1"/>
      <c r="AQ168" s="1">
        <f>AVERAGE(AH168:AK168)</f>
        <v>14.5</v>
      </c>
      <c r="AR168" s="1"/>
      <c r="AS168" s="12">
        <f>AVERAGE(AN168:AQ168)</f>
        <v>14.5</v>
      </c>
      <c r="AT168" s="1"/>
      <c r="AU168" s="1"/>
      <c r="AV168" s="1"/>
      <c r="AW168" s="1"/>
      <c r="AX168" s="1"/>
      <c r="AY168" s="1"/>
      <c r="AZ168" s="1">
        <v>4.3</v>
      </c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>
        <f>AVERAGE(AV168:BI168)</f>
        <v>4.3</v>
      </c>
      <c r="BN168" s="12">
        <f>AVERAGE(AT168:BK168)</f>
        <v>4.3</v>
      </c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2"/>
      <c r="CC168" s="13">
        <f t="shared" si="78"/>
        <v>0</v>
      </c>
      <c r="CD168" s="6"/>
      <c r="CE168" s="6"/>
      <c r="CF168" s="6"/>
      <c r="CG168" s="6"/>
      <c r="CH168" s="6"/>
      <c r="CI168" s="6"/>
      <c r="CJ168" s="13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</row>
    <row r="169" spans="1:160" x14ac:dyDescent="0.3">
      <c r="A169" s="6" t="s">
        <v>305</v>
      </c>
      <c r="B169" s="10" t="s">
        <v>305</v>
      </c>
      <c r="C169" s="10" t="s">
        <v>363</v>
      </c>
      <c r="D169" s="6" t="s">
        <v>363</v>
      </c>
      <c r="E169" s="7">
        <v>3.175144</v>
      </c>
      <c r="F169" s="7">
        <v>4.53592</v>
      </c>
      <c r="G169" s="7">
        <v>3</v>
      </c>
      <c r="H169" s="7">
        <v>3.5</v>
      </c>
      <c r="I169" s="1"/>
      <c r="J169" s="1"/>
      <c r="K169" s="1"/>
      <c r="L169" s="1"/>
      <c r="M169" s="1"/>
      <c r="N169" s="1"/>
      <c r="O169" s="1"/>
      <c r="P169" s="1"/>
      <c r="Q169" s="12">
        <v>3.8555320000000002</v>
      </c>
      <c r="R169" s="1"/>
      <c r="S169" s="1"/>
      <c r="T169" s="1">
        <v>3.25</v>
      </c>
      <c r="U169" s="1"/>
      <c r="V169" s="1"/>
      <c r="W169" s="1">
        <f>AVERAGE(X169:Y169)</f>
        <v>4.88</v>
      </c>
      <c r="X169" s="1">
        <v>4.88</v>
      </c>
      <c r="Y169" s="1"/>
      <c r="Z169" s="1"/>
      <c r="AA169" s="1"/>
      <c r="AB169" s="1"/>
      <c r="AC169" s="1"/>
      <c r="AD169" s="1"/>
      <c r="AE169" s="1">
        <f>AVERAGE(E169:P169)</f>
        <v>3.5527660000000001</v>
      </c>
      <c r="AF169" s="1">
        <f>AVERAGE(X169:AD169)</f>
        <v>4.88</v>
      </c>
      <c r="AG169" s="1">
        <f>AVERAGE(AE169:AF169)</f>
        <v>4.2163830000000004</v>
      </c>
      <c r="AH169" s="1">
        <v>12</v>
      </c>
      <c r="AI169" s="1">
        <v>15</v>
      </c>
      <c r="AJ169" s="1">
        <v>14</v>
      </c>
      <c r="AK169" s="1">
        <v>15</v>
      </c>
      <c r="AL169" s="1">
        <v>13.5</v>
      </c>
      <c r="AM169" s="1">
        <v>14.5</v>
      </c>
      <c r="AN169" s="1"/>
      <c r="AO169" s="1"/>
      <c r="AP169" s="1"/>
      <c r="AQ169" s="1">
        <f>AVERAGE(AH169:AK169)</f>
        <v>14</v>
      </c>
      <c r="AR169" s="1"/>
      <c r="AS169" s="12">
        <f>AVERAGE(AN169:AQ169)</f>
        <v>14</v>
      </c>
      <c r="AT169" s="1">
        <v>3</v>
      </c>
      <c r="AU169" s="1"/>
      <c r="AV169" s="1"/>
      <c r="AW169" s="1"/>
      <c r="AX169" s="1"/>
      <c r="AY169" s="1"/>
      <c r="AZ169" s="1">
        <v>4.0999999999999996</v>
      </c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>
        <f>AVERAGE(AT169:AU169)</f>
        <v>3</v>
      </c>
      <c r="BM169" s="1">
        <f>AVERAGE(AV169:BI169)</f>
        <v>4.0999999999999996</v>
      </c>
      <c r="BN169" s="12">
        <f>AVERAGE(AT169:BK169)</f>
        <v>3.55</v>
      </c>
      <c r="BO169" s="1"/>
      <c r="BP169" s="1"/>
      <c r="BQ169" s="1">
        <v>113.398</v>
      </c>
      <c r="BR169" s="1"/>
      <c r="BS169" s="1"/>
      <c r="BT169" s="1"/>
      <c r="BU169" s="1"/>
      <c r="BV169" s="1"/>
      <c r="BW169" s="1"/>
      <c r="BX169" s="1">
        <v>113.398</v>
      </c>
      <c r="BY169" s="1"/>
      <c r="BZ169" s="1"/>
      <c r="CA169" s="1">
        <f>AVERAGE(BQ169:BU169)</f>
        <v>113.398</v>
      </c>
      <c r="CB169" s="12">
        <f>CA169/1000</f>
        <v>0.113398</v>
      </c>
      <c r="CC169" s="13">
        <f t="shared" si="78"/>
        <v>0.4025629</v>
      </c>
      <c r="CD169" s="6"/>
      <c r="CE169" s="6"/>
      <c r="CF169" s="6"/>
      <c r="CG169" s="6"/>
      <c r="CH169" s="6"/>
      <c r="CI169" s="6"/>
      <c r="CJ169" s="13">
        <f>((Q169-CB169)/CB169)*100</f>
        <v>3300</v>
      </c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</row>
    <row r="170" spans="1:160" x14ac:dyDescent="0.3">
      <c r="A170" s="6" t="s">
        <v>305</v>
      </c>
      <c r="B170" s="10" t="s">
        <v>305</v>
      </c>
      <c r="C170" s="10" t="s">
        <v>364</v>
      </c>
      <c r="D170" s="6" t="s">
        <v>364</v>
      </c>
      <c r="E170" s="7"/>
      <c r="F170" s="7"/>
      <c r="G170" s="7"/>
      <c r="H170" s="7"/>
      <c r="I170" s="1"/>
      <c r="J170" s="1"/>
      <c r="K170" s="1"/>
      <c r="L170" s="1"/>
      <c r="M170" s="1"/>
      <c r="N170" s="1"/>
      <c r="O170" s="1"/>
      <c r="P170" s="1"/>
      <c r="Q170" s="1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2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2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2"/>
      <c r="CC170" s="13">
        <f t="shared" si="78"/>
        <v>0</v>
      </c>
      <c r="CD170" s="6"/>
      <c r="CE170" s="6"/>
      <c r="CF170" s="6"/>
      <c r="CG170" s="6"/>
      <c r="CH170" s="6"/>
      <c r="CI170" s="6"/>
      <c r="CJ170" s="13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</row>
    <row r="171" spans="1:160" x14ac:dyDescent="0.3">
      <c r="A171" s="6" t="s">
        <v>305</v>
      </c>
      <c r="B171" s="10" t="s">
        <v>305</v>
      </c>
      <c r="C171" s="10" t="s">
        <v>365</v>
      </c>
      <c r="D171" s="6" t="s">
        <v>365</v>
      </c>
      <c r="E171" s="7"/>
      <c r="F171" s="7"/>
      <c r="G171" s="7"/>
      <c r="H171" s="7"/>
      <c r="I171" s="1"/>
      <c r="J171" s="1"/>
      <c r="K171" s="1"/>
      <c r="L171" s="1"/>
      <c r="M171" s="1"/>
      <c r="N171" s="1"/>
      <c r="O171" s="1"/>
      <c r="P171" s="1"/>
      <c r="Q171" s="1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2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2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2"/>
      <c r="CC171" s="13">
        <f t="shared" si="78"/>
        <v>0</v>
      </c>
      <c r="CD171" s="6"/>
      <c r="CE171" s="6"/>
      <c r="CF171" s="6"/>
      <c r="CG171" s="6"/>
      <c r="CH171" s="6"/>
      <c r="CI171" s="6"/>
      <c r="CJ171" s="13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</row>
    <row r="172" spans="1:160" x14ac:dyDescent="0.3">
      <c r="A172" s="6" t="s">
        <v>305</v>
      </c>
      <c r="B172" s="10" t="s">
        <v>305</v>
      </c>
      <c r="C172" s="10" t="s">
        <v>366</v>
      </c>
      <c r="D172" s="6" t="s">
        <v>367</v>
      </c>
      <c r="E172" s="7"/>
      <c r="F172" s="7"/>
      <c r="G172" s="7"/>
      <c r="H172" s="7"/>
      <c r="I172" s="1"/>
      <c r="J172" s="1"/>
      <c r="K172" s="1"/>
      <c r="L172" s="1"/>
      <c r="M172" s="1"/>
      <c r="N172" s="1"/>
      <c r="O172" s="1"/>
      <c r="P172" s="1"/>
      <c r="Q172" s="1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2"/>
      <c r="AT172" s="1"/>
      <c r="AU172" s="1"/>
      <c r="AV172" s="1"/>
      <c r="AW172" s="1"/>
      <c r="AX172" s="1"/>
      <c r="AY172" s="1"/>
      <c r="AZ172" s="1">
        <v>5.8</v>
      </c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>
        <f>AVERAGE(AV172:BI172)</f>
        <v>5.8</v>
      </c>
      <c r="BN172" s="12">
        <f>AVERAGE(AT172:BK172)</f>
        <v>5.8</v>
      </c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2"/>
      <c r="CC172" s="13">
        <f t="shared" si="78"/>
        <v>0</v>
      </c>
      <c r="CD172" s="6"/>
      <c r="CE172" s="6"/>
      <c r="CF172" s="6"/>
      <c r="CG172" s="6"/>
      <c r="CH172" s="6"/>
      <c r="CI172" s="6"/>
      <c r="CJ172" s="13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</row>
    <row r="173" spans="1:160" x14ac:dyDescent="0.3">
      <c r="A173" s="6" t="s">
        <v>305</v>
      </c>
      <c r="B173" s="10" t="s">
        <v>305</v>
      </c>
      <c r="C173" s="10" t="s">
        <v>368</v>
      </c>
      <c r="D173" s="6" t="s">
        <v>368</v>
      </c>
      <c r="E173" s="7"/>
      <c r="F173" s="7"/>
      <c r="G173" s="7"/>
      <c r="H173" s="7"/>
      <c r="I173" s="1"/>
      <c r="J173" s="1"/>
      <c r="K173" s="1"/>
      <c r="L173" s="1"/>
      <c r="M173" s="1"/>
      <c r="N173" s="1"/>
      <c r="O173" s="1"/>
      <c r="P173" s="1"/>
      <c r="Q173" s="1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2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2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2"/>
      <c r="CC173" s="13">
        <f t="shared" si="78"/>
        <v>0</v>
      </c>
      <c r="CD173" s="6"/>
      <c r="CE173" s="6"/>
      <c r="CF173" s="6"/>
      <c r="CG173" s="6"/>
      <c r="CH173" s="6"/>
      <c r="CI173" s="6"/>
      <c r="CJ173" s="13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</row>
    <row r="174" spans="1:160" x14ac:dyDescent="0.3">
      <c r="A174" s="6" t="s">
        <v>305</v>
      </c>
      <c r="B174" s="10" t="s">
        <v>305</v>
      </c>
      <c r="C174" s="10" t="s">
        <v>369</v>
      </c>
      <c r="D174" s="6" t="s">
        <v>369</v>
      </c>
      <c r="E174" s="7">
        <v>20.411639999999998</v>
      </c>
      <c r="F174" s="7">
        <v>29.48348</v>
      </c>
      <c r="G174" s="7"/>
      <c r="H174" s="7"/>
      <c r="I174" s="1"/>
      <c r="J174" s="1"/>
      <c r="K174" s="1"/>
      <c r="L174" s="1"/>
      <c r="M174" s="1"/>
      <c r="N174" s="1"/>
      <c r="O174" s="1"/>
      <c r="P174" s="1"/>
      <c r="Q174" s="12">
        <v>24.947559999999999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>
        <f>AVERAGE(E174:P174)</f>
        <v>24.947559999999999</v>
      </c>
      <c r="AF174" s="1"/>
      <c r="AG174" s="1">
        <f>AVERAGE(AE174:AF174)</f>
        <v>24.947559999999999</v>
      </c>
      <c r="AH174" s="1">
        <v>11</v>
      </c>
      <c r="AI174" s="1">
        <v>12</v>
      </c>
      <c r="AJ174" s="1"/>
      <c r="AK174" s="1"/>
      <c r="AL174" s="1">
        <v>11.5</v>
      </c>
      <c r="AM174" s="1"/>
      <c r="AN174" s="1"/>
      <c r="AO174" s="1"/>
      <c r="AP174" s="1"/>
      <c r="AQ174" s="1">
        <f>AVERAGE(AH174:AK174)</f>
        <v>11.5</v>
      </c>
      <c r="AR174" s="1"/>
      <c r="AS174" s="12">
        <f>AVERAGE(AN174:AQ174)</f>
        <v>11.5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2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2"/>
      <c r="CC174" s="13">
        <f t="shared" si="78"/>
        <v>0</v>
      </c>
      <c r="CD174" s="6"/>
      <c r="CE174" s="6"/>
      <c r="CF174" s="6"/>
      <c r="CG174" s="6"/>
      <c r="CH174" s="6"/>
      <c r="CI174" s="6"/>
      <c r="CJ174" s="13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</row>
    <row r="175" spans="1:160" x14ac:dyDescent="0.3">
      <c r="A175" s="6" t="s">
        <v>305</v>
      </c>
      <c r="B175" s="10" t="s">
        <v>305</v>
      </c>
      <c r="C175" s="10" t="s">
        <v>370</v>
      </c>
      <c r="D175" s="6" t="s">
        <v>370</v>
      </c>
      <c r="E175" s="7">
        <v>11.3398</v>
      </c>
      <c r="F175" s="7">
        <v>15.875719999999999</v>
      </c>
      <c r="G175" s="7">
        <v>4.5</v>
      </c>
      <c r="H175" s="7">
        <v>9</v>
      </c>
      <c r="I175" s="1"/>
      <c r="J175" s="1"/>
      <c r="K175" s="1"/>
      <c r="L175" s="1"/>
      <c r="M175" s="1"/>
      <c r="N175" s="1"/>
      <c r="O175" s="1"/>
      <c r="P175" s="1"/>
      <c r="Q175" s="12">
        <v>13.607760000000001</v>
      </c>
      <c r="R175" s="1"/>
      <c r="S175" s="1"/>
      <c r="T175" s="1">
        <v>6.75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>
        <f>AVERAGE(E175:P175)</f>
        <v>10.178879999999999</v>
      </c>
      <c r="AF175" s="1"/>
      <c r="AG175" s="1">
        <f>AVERAGE(AE175:AF175)</f>
        <v>10.178879999999999</v>
      </c>
      <c r="AH175" s="1">
        <v>13</v>
      </c>
      <c r="AI175" s="1">
        <v>15</v>
      </c>
      <c r="AJ175" s="1">
        <v>11</v>
      </c>
      <c r="AK175" s="1">
        <v>15</v>
      </c>
      <c r="AL175" s="1">
        <v>14</v>
      </c>
      <c r="AM175" s="1">
        <v>13</v>
      </c>
      <c r="AN175" s="1"/>
      <c r="AO175" s="1"/>
      <c r="AP175" s="1"/>
      <c r="AQ175" s="1">
        <f>AVERAGE(AH175:AK175)</f>
        <v>13.5</v>
      </c>
      <c r="AR175" s="1"/>
      <c r="AS175" s="12">
        <f>AVERAGE(AN175:AQ175)</f>
        <v>13.5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2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2"/>
      <c r="CC175" s="13">
        <f t="shared" si="78"/>
        <v>0</v>
      </c>
      <c r="CD175" s="6"/>
      <c r="CE175" s="6"/>
      <c r="CF175" s="6"/>
      <c r="CG175" s="6"/>
      <c r="CH175" s="6"/>
      <c r="CI175" s="6"/>
      <c r="CJ175" s="13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</row>
    <row r="176" spans="1:160" x14ac:dyDescent="0.3">
      <c r="A176" s="6" t="s">
        <v>305</v>
      </c>
      <c r="B176" s="10" t="s">
        <v>305</v>
      </c>
      <c r="C176" s="10" t="s">
        <v>371</v>
      </c>
      <c r="D176" s="6" t="s">
        <v>371</v>
      </c>
      <c r="E176" s="7">
        <v>2.721552</v>
      </c>
      <c r="F176" s="7">
        <v>4.53592</v>
      </c>
      <c r="G176" s="7">
        <v>2.4</v>
      </c>
      <c r="H176" s="7">
        <v>4.5</v>
      </c>
      <c r="I176" s="1"/>
      <c r="J176" s="1"/>
      <c r="K176" s="1"/>
      <c r="L176" s="1"/>
      <c r="M176" s="1"/>
      <c r="N176" s="1"/>
      <c r="O176" s="1"/>
      <c r="P176" s="1"/>
      <c r="Q176" s="12">
        <v>3.628736</v>
      </c>
      <c r="R176" s="1"/>
      <c r="S176" s="1"/>
      <c r="T176" s="1">
        <v>3.45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>
        <f>AVERAGE(E176:P176)</f>
        <v>3.5393680000000001</v>
      </c>
      <c r="AF176" s="1"/>
      <c r="AG176" s="1">
        <f>AVERAGE(AE176:AF176)</f>
        <v>3.5393680000000001</v>
      </c>
      <c r="AH176" s="1">
        <v>13</v>
      </c>
      <c r="AI176" s="1">
        <v>15</v>
      </c>
      <c r="AJ176" s="1">
        <v>11</v>
      </c>
      <c r="AK176" s="1">
        <v>15</v>
      </c>
      <c r="AL176" s="1">
        <v>14</v>
      </c>
      <c r="AM176" s="1">
        <v>13</v>
      </c>
      <c r="AN176" s="1"/>
      <c r="AO176" s="1"/>
      <c r="AP176" s="1"/>
      <c r="AQ176" s="1">
        <f>AVERAGE(AH176:AK176)</f>
        <v>13.5</v>
      </c>
      <c r="AR176" s="1"/>
      <c r="AS176" s="12">
        <f>AVERAGE(AN176:AQ176)</f>
        <v>13.5</v>
      </c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2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2"/>
      <c r="CC176" s="13">
        <f t="shared" si="78"/>
        <v>0</v>
      </c>
      <c r="CD176" s="6"/>
      <c r="CE176" s="6"/>
      <c r="CF176" s="6"/>
      <c r="CG176" s="6"/>
      <c r="CH176" s="6"/>
      <c r="CI176" s="6"/>
      <c r="CJ176" s="13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</row>
    <row r="177" spans="1:160" x14ac:dyDescent="0.3">
      <c r="A177" s="6" t="s">
        <v>305</v>
      </c>
      <c r="B177" s="10" t="s">
        <v>305</v>
      </c>
      <c r="C177" s="10" t="s">
        <v>372</v>
      </c>
      <c r="D177" s="6" t="s">
        <v>372</v>
      </c>
      <c r="E177" s="7">
        <v>20.411639999999998</v>
      </c>
      <c r="F177" s="7">
        <v>31.751439999999999</v>
      </c>
      <c r="G177" s="7"/>
      <c r="H177" s="7"/>
      <c r="I177" s="1"/>
      <c r="J177" s="1"/>
      <c r="K177" s="1"/>
      <c r="L177" s="1"/>
      <c r="M177" s="1"/>
      <c r="N177" s="1"/>
      <c r="O177" s="1"/>
      <c r="P177" s="1"/>
      <c r="Q177" s="12">
        <v>26.08154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>
        <f>AVERAGE(E177:P177)</f>
        <v>26.081539999999997</v>
      </c>
      <c r="AF177" s="1"/>
      <c r="AG177" s="1">
        <f>AVERAGE(AE177:AF177)</f>
        <v>26.081539999999997</v>
      </c>
      <c r="AH177" s="1">
        <v>12</v>
      </c>
      <c r="AI177" s="1">
        <v>15</v>
      </c>
      <c r="AJ177" s="1"/>
      <c r="AK177" s="1"/>
      <c r="AL177" s="1">
        <v>13.5</v>
      </c>
      <c r="AM177" s="1"/>
      <c r="AN177" s="1"/>
      <c r="AO177" s="1"/>
      <c r="AP177" s="1"/>
      <c r="AQ177" s="1">
        <f>AVERAGE(AH177:AK177)</f>
        <v>13.5</v>
      </c>
      <c r="AR177" s="1"/>
      <c r="AS177" s="12">
        <f>AVERAGE(AN177:AQ177)</f>
        <v>13.5</v>
      </c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2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2"/>
      <c r="CC177" s="13">
        <f t="shared" si="78"/>
        <v>0</v>
      </c>
      <c r="CD177" s="6"/>
      <c r="CE177" s="6"/>
      <c r="CF177" s="6"/>
      <c r="CG177" s="6"/>
      <c r="CH177" s="6"/>
      <c r="CI177" s="6"/>
      <c r="CJ177" s="13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</row>
    <row r="178" spans="1:160" x14ac:dyDescent="0.3">
      <c r="A178" s="6" t="s">
        <v>305</v>
      </c>
      <c r="B178" s="10" t="s">
        <v>305</v>
      </c>
      <c r="C178" s="10" t="s">
        <v>373</v>
      </c>
      <c r="D178" s="6" t="s">
        <v>373</v>
      </c>
      <c r="E178" s="7"/>
      <c r="F178" s="7"/>
      <c r="G178" s="7"/>
      <c r="H178" s="7"/>
      <c r="I178" s="1"/>
      <c r="J178" s="1"/>
      <c r="K178" s="1"/>
      <c r="L178" s="1"/>
      <c r="M178" s="1"/>
      <c r="N178" s="1"/>
      <c r="O178" s="1"/>
      <c r="P178" s="1"/>
      <c r="Q178" s="1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2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2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2"/>
      <c r="CC178" s="13">
        <f t="shared" si="78"/>
        <v>0</v>
      </c>
      <c r="CD178" s="6"/>
      <c r="CE178" s="6"/>
      <c r="CF178" s="6"/>
      <c r="CG178" s="6"/>
      <c r="CH178" s="6"/>
      <c r="CI178" s="6"/>
      <c r="CJ178" s="13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</row>
    <row r="179" spans="1:160" x14ac:dyDescent="0.3">
      <c r="A179" s="6" t="s">
        <v>305</v>
      </c>
      <c r="B179" s="10" t="s">
        <v>305</v>
      </c>
      <c r="C179" s="10" t="s">
        <v>374</v>
      </c>
      <c r="D179" s="6" t="s">
        <v>375</v>
      </c>
      <c r="E179" s="7">
        <v>9.0718399999999999</v>
      </c>
      <c r="F179" s="7">
        <v>18.14368</v>
      </c>
      <c r="G179" s="7"/>
      <c r="H179" s="7"/>
      <c r="I179" s="1"/>
      <c r="J179" s="1"/>
      <c r="K179" s="1"/>
      <c r="L179" s="1"/>
      <c r="M179" s="1"/>
      <c r="N179" s="1"/>
      <c r="O179" s="1"/>
      <c r="P179" s="1"/>
      <c r="Q179" s="12">
        <v>13.607760000000001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>
        <f>AVERAGE(E179:P179)</f>
        <v>13.607759999999999</v>
      </c>
      <c r="AF179" s="1"/>
      <c r="AG179" s="1">
        <f>AVERAGE(AE179:AF179)</f>
        <v>13.607759999999999</v>
      </c>
      <c r="AH179" s="1">
        <v>12</v>
      </c>
      <c r="AI179" s="1">
        <v>13</v>
      </c>
      <c r="AJ179" s="1"/>
      <c r="AK179" s="1"/>
      <c r="AL179" s="1">
        <v>12.5</v>
      </c>
      <c r="AM179" s="1"/>
      <c r="AN179" s="1"/>
      <c r="AO179" s="1"/>
      <c r="AP179" s="1"/>
      <c r="AQ179" s="1">
        <f>AVERAGE(AH179:AK179)</f>
        <v>12.5</v>
      </c>
      <c r="AR179" s="1"/>
      <c r="AS179" s="12">
        <f>AVERAGE(AN179:AQ179)</f>
        <v>12.5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2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2"/>
      <c r="CC179" s="13">
        <f t="shared" si="78"/>
        <v>0</v>
      </c>
      <c r="CD179" s="6"/>
      <c r="CE179" s="6"/>
      <c r="CF179" s="6"/>
      <c r="CG179" s="6"/>
      <c r="CH179" s="6"/>
      <c r="CI179" s="6"/>
      <c r="CJ179" s="13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</row>
    <row r="180" spans="1:160" x14ac:dyDescent="0.3">
      <c r="A180" s="6" t="s">
        <v>305</v>
      </c>
      <c r="B180" s="10" t="s">
        <v>305</v>
      </c>
      <c r="C180" s="10" t="s">
        <v>376</v>
      </c>
      <c r="D180" s="6" t="s">
        <v>376</v>
      </c>
      <c r="E180" s="7"/>
      <c r="F180" s="7"/>
      <c r="G180" s="7"/>
      <c r="H180" s="7"/>
      <c r="I180" s="1">
        <v>13.607760000000001</v>
      </c>
      <c r="J180" s="1">
        <v>20.411639999999998</v>
      </c>
      <c r="K180" s="1">
        <v>13.5</v>
      </c>
      <c r="L180" s="1">
        <v>20.5</v>
      </c>
      <c r="M180" s="1">
        <v>11.3398</v>
      </c>
      <c r="N180" s="1">
        <v>18.14368</v>
      </c>
      <c r="O180" s="1">
        <v>13.5</v>
      </c>
      <c r="P180" s="1">
        <v>20.5</v>
      </c>
      <c r="Q180" s="12">
        <v>15.875719999999999</v>
      </c>
      <c r="R180" s="1">
        <v>17.009699999999999</v>
      </c>
      <c r="S180" s="1">
        <v>14.74174</v>
      </c>
      <c r="T180" s="1">
        <v>17</v>
      </c>
      <c r="U180" s="1">
        <v>17</v>
      </c>
      <c r="V180" s="1">
        <v>17</v>
      </c>
      <c r="W180" s="1"/>
      <c r="X180" s="1"/>
      <c r="Y180" s="1"/>
      <c r="Z180" s="1"/>
      <c r="AA180" s="1"/>
      <c r="AB180" s="1"/>
      <c r="AC180" s="1"/>
      <c r="AD180" s="1"/>
      <c r="AE180" s="1">
        <f>AVERAGE(E180:P180)</f>
        <v>16.437860000000001</v>
      </c>
      <c r="AF180" s="1"/>
      <c r="AG180" s="1">
        <f>AVERAGE(AE180:AF180)</f>
        <v>16.437860000000001</v>
      </c>
      <c r="AH180" s="1">
        <v>10</v>
      </c>
      <c r="AI180" s="1">
        <v>14</v>
      </c>
      <c r="AJ180" s="1">
        <v>11</v>
      </c>
      <c r="AK180" s="1">
        <v>12</v>
      </c>
      <c r="AL180" s="1">
        <v>12</v>
      </c>
      <c r="AM180" s="1">
        <v>11.5</v>
      </c>
      <c r="AN180" s="1"/>
      <c r="AO180" s="1"/>
      <c r="AP180" s="1"/>
      <c r="AQ180" s="1">
        <f>AVERAGE(AH180:AK180)</f>
        <v>11.75</v>
      </c>
      <c r="AR180" s="1"/>
      <c r="AS180" s="12">
        <f>AVERAGE(AN180:AQ180)</f>
        <v>11.75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2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2"/>
      <c r="CC180" s="13">
        <f t="shared" si="78"/>
        <v>0</v>
      </c>
      <c r="CD180" s="6"/>
      <c r="CE180" s="6"/>
      <c r="CF180" s="6"/>
      <c r="CG180" s="6"/>
      <c r="CH180" s="6"/>
      <c r="CI180" s="6"/>
      <c r="CJ180" s="13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</row>
    <row r="181" spans="1:160" x14ac:dyDescent="0.3">
      <c r="A181" s="6" t="s">
        <v>305</v>
      </c>
      <c r="B181" s="10" t="s">
        <v>305</v>
      </c>
      <c r="C181" s="10" t="s">
        <v>377</v>
      </c>
      <c r="D181" s="6" t="s">
        <v>378</v>
      </c>
      <c r="E181" s="7">
        <v>21.772416</v>
      </c>
      <c r="F181" s="7">
        <v>31.751439999999999</v>
      </c>
      <c r="G181" s="7"/>
      <c r="H181" s="7"/>
      <c r="I181" s="1"/>
      <c r="J181" s="1"/>
      <c r="K181" s="1"/>
      <c r="L181" s="1"/>
      <c r="M181" s="1"/>
      <c r="N181" s="1"/>
      <c r="O181" s="1"/>
      <c r="P181" s="1"/>
      <c r="Q181" s="12">
        <v>26.761928000000001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>
        <f>AVERAGE(E181:P181)</f>
        <v>26.761927999999997</v>
      </c>
      <c r="AF181" s="1"/>
      <c r="AG181" s="1">
        <f>AVERAGE(AE181:AF181)</f>
        <v>26.761927999999997</v>
      </c>
      <c r="AH181" s="1">
        <v>12</v>
      </c>
      <c r="AI181" s="1">
        <v>15</v>
      </c>
      <c r="AJ181" s="1"/>
      <c r="AK181" s="1"/>
      <c r="AL181" s="1">
        <v>13.5</v>
      </c>
      <c r="AM181" s="1"/>
      <c r="AN181" s="1"/>
      <c r="AO181" s="1"/>
      <c r="AP181" s="1"/>
      <c r="AQ181" s="1">
        <f>AVERAGE(AH181:AK181)</f>
        <v>13.5</v>
      </c>
      <c r="AR181" s="1"/>
      <c r="AS181" s="12">
        <f>AVERAGE(AN181:AQ181)</f>
        <v>13.5</v>
      </c>
      <c r="AT181" s="1"/>
      <c r="AU181" s="1"/>
      <c r="AV181" s="1"/>
      <c r="AW181" s="1"/>
      <c r="AX181" s="1"/>
      <c r="AY181" s="1">
        <v>5.5</v>
      </c>
      <c r="AZ181" s="1"/>
      <c r="BA181" s="1"/>
      <c r="BB181" s="1"/>
      <c r="BC181" s="1"/>
      <c r="BD181" s="1"/>
      <c r="BE181" s="1">
        <v>5.5</v>
      </c>
      <c r="BF181" s="1"/>
      <c r="BG181" s="1"/>
      <c r="BH181" s="1"/>
      <c r="BI181" s="1"/>
      <c r="BJ181" s="1"/>
      <c r="BK181" s="1"/>
      <c r="BL181" s="1"/>
      <c r="BM181" s="1">
        <f>AVERAGE(AV181:BI181)</f>
        <v>5.5</v>
      </c>
      <c r="BN181" s="12">
        <f>AVERAGE(AT181:BK181)</f>
        <v>5.5</v>
      </c>
      <c r="BO181" s="1"/>
      <c r="BP181" s="1"/>
      <c r="BQ181" s="1"/>
      <c r="BR181" s="1"/>
      <c r="BS181" s="1"/>
      <c r="BT181" s="1">
        <v>357</v>
      </c>
      <c r="BU181" s="1"/>
      <c r="BV181" s="1"/>
      <c r="BW181" s="1"/>
      <c r="BX181" s="1"/>
      <c r="BY181" s="1">
        <f>AVERAGE(BR181:BU181)</f>
        <v>357</v>
      </c>
      <c r="BZ181" s="1">
        <f>BY181/1000</f>
        <v>0.35699999999999998</v>
      </c>
      <c r="CA181" s="1">
        <f>AVERAGE(BQ181:BU181)</f>
        <v>357</v>
      </c>
      <c r="CB181" s="12">
        <f>CA181/1000</f>
        <v>0.35699999999999998</v>
      </c>
      <c r="CC181" s="13">
        <f t="shared" si="78"/>
        <v>1.9634999999999998</v>
      </c>
      <c r="CD181" s="6"/>
      <c r="CE181" s="6"/>
      <c r="CF181" s="6"/>
      <c r="CG181" s="6"/>
      <c r="CH181" s="6"/>
      <c r="CI181" s="6"/>
      <c r="CJ181" s="13">
        <f>((Q181-CB181)/CB181)*100</f>
        <v>7396.3383753501403</v>
      </c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</row>
    <row r="182" spans="1:160" x14ac:dyDescent="0.3">
      <c r="A182" s="6" t="s">
        <v>305</v>
      </c>
      <c r="B182" s="10" t="s">
        <v>305</v>
      </c>
      <c r="C182" s="10" t="s">
        <v>379</v>
      </c>
      <c r="D182" s="6" t="s">
        <v>380</v>
      </c>
      <c r="E182" s="7"/>
      <c r="F182" s="7"/>
      <c r="G182" s="7"/>
      <c r="H182" s="7"/>
      <c r="I182" s="1"/>
      <c r="J182" s="1"/>
      <c r="K182" s="1"/>
      <c r="L182" s="1"/>
      <c r="M182" s="1"/>
      <c r="N182" s="1"/>
      <c r="O182" s="1"/>
      <c r="P182" s="1"/>
      <c r="Q182" s="1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2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2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2"/>
      <c r="CC182" s="13">
        <f t="shared" si="78"/>
        <v>0</v>
      </c>
      <c r="CD182" s="6"/>
      <c r="CE182" s="6"/>
      <c r="CF182" s="6"/>
      <c r="CG182" s="6"/>
      <c r="CH182" s="6"/>
      <c r="CI182" s="6"/>
      <c r="CJ182" s="13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</row>
    <row r="183" spans="1:160" x14ac:dyDescent="0.3">
      <c r="A183" s="6" t="s">
        <v>305</v>
      </c>
      <c r="B183" s="10" t="s">
        <v>305</v>
      </c>
      <c r="C183" s="10" t="s">
        <v>381</v>
      </c>
      <c r="D183" s="6" t="s">
        <v>381</v>
      </c>
      <c r="E183" s="7"/>
      <c r="F183" s="7"/>
      <c r="G183" s="7"/>
      <c r="H183" s="7"/>
      <c r="I183" s="1"/>
      <c r="J183" s="1"/>
      <c r="K183" s="1"/>
      <c r="L183" s="1"/>
      <c r="M183" s="1"/>
      <c r="N183" s="1"/>
      <c r="O183" s="1"/>
      <c r="P183" s="1"/>
      <c r="Q183" s="1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2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2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2"/>
      <c r="CC183" s="13">
        <f t="shared" si="78"/>
        <v>0</v>
      </c>
      <c r="CD183" s="6"/>
      <c r="CE183" s="6"/>
      <c r="CF183" s="6"/>
      <c r="CG183" s="6"/>
      <c r="CH183" s="6"/>
      <c r="CI183" s="6"/>
      <c r="CJ183" s="13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</row>
    <row r="184" spans="1:160" x14ac:dyDescent="0.3">
      <c r="A184" s="6" t="s">
        <v>305</v>
      </c>
      <c r="B184" s="10" t="s">
        <v>305</v>
      </c>
      <c r="C184" s="10" t="s">
        <v>382</v>
      </c>
      <c r="D184" s="6" t="s">
        <v>383</v>
      </c>
      <c r="E184" s="7"/>
      <c r="F184" s="7"/>
      <c r="G184" s="7"/>
      <c r="H184" s="7"/>
      <c r="I184" s="1"/>
      <c r="J184" s="1"/>
      <c r="K184" s="1"/>
      <c r="L184" s="1"/>
      <c r="M184" s="1"/>
      <c r="N184" s="1"/>
      <c r="O184" s="1"/>
      <c r="P184" s="1"/>
      <c r="Q184" s="1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2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2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2"/>
      <c r="CC184" s="13">
        <f t="shared" si="78"/>
        <v>0</v>
      </c>
      <c r="CD184" s="6"/>
      <c r="CE184" s="6"/>
      <c r="CF184" s="6"/>
      <c r="CG184" s="6"/>
      <c r="CH184" s="6"/>
      <c r="CI184" s="6"/>
      <c r="CJ184" s="13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</row>
    <row r="185" spans="1:160" x14ac:dyDescent="0.3">
      <c r="A185" s="6" t="s">
        <v>305</v>
      </c>
      <c r="B185" s="10" t="s">
        <v>305</v>
      </c>
      <c r="C185" s="10" t="s">
        <v>384</v>
      </c>
      <c r="D185" s="6" t="s">
        <v>385</v>
      </c>
      <c r="E185" s="7"/>
      <c r="F185" s="7"/>
      <c r="G185" s="7"/>
      <c r="H185" s="7"/>
      <c r="I185" s="1"/>
      <c r="J185" s="1"/>
      <c r="K185" s="1"/>
      <c r="L185" s="1"/>
      <c r="M185" s="1"/>
      <c r="N185" s="1"/>
      <c r="O185" s="1"/>
      <c r="P185" s="1"/>
      <c r="Q185" s="1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2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2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2"/>
      <c r="CC185" s="13">
        <f t="shared" si="78"/>
        <v>0</v>
      </c>
      <c r="CD185" s="6"/>
      <c r="CE185" s="6"/>
      <c r="CF185" s="6"/>
      <c r="CG185" s="6"/>
      <c r="CH185" s="6"/>
      <c r="CI185" s="6"/>
      <c r="CJ185" s="13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</row>
    <row r="186" spans="1:160" x14ac:dyDescent="0.3">
      <c r="A186" s="6" t="s">
        <v>305</v>
      </c>
      <c r="B186" s="10" t="s">
        <v>305</v>
      </c>
      <c r="C186" s="10" t="s">
        <v>386</v>
      </c>
      <c r="D186" s="6" t="s">
        <v>386</v>
      </c>
      <c r="E186" s="7"/>
      <c r="F186" s="7"/>
      <c r="G186" s="7"/>
      <c r="H186" s="7"/>
      <c r="I186" s="1">
        <v>17.236495999999999</v>
      </c>
      <c r="J186" s="1">
        <v>20.411639999999998</v>
      </c>
      <c r="K186" s="1"/>
      <c r="L186" s="1"/>
      <c r="M186" s="1">
        <v>14.514944</v>
      </c>
      <c r="N186" s="1">
        <v>15.875719999999999</v>
      </c>
      <c r="O186" s="1"/>
      <c r="P186" s="1"/>
      <c r="Q186" s="12">
        <v>17.009699999999999</v>
      </c>
      <c r="R186" s="1">
        <v>18.824068</v>
      </c>
      <c r="S186" s="1">
        <v>15.195332000000001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>
        <f>AVERAGE(E186:P186)</f>
        <v>17.009699999999999</v>
      </c>
      <c r="AF186" s="1"/>
      <c r="AG186" s="1">
        <f>AVERAGE(AE186:AF186)</f>
        <v>17.009699999999999</v>
      </c>
      <c r="AH186" s="1">
        <v>12</v>
      </c>
      <c r="AI186" s="1">
        <v>15</v>
      </c>
      <c r="AJ186" s="1"/>
      <c r="AK186" s="1"/>
      <c r="AL186" s="1">
        <v>13.5</v>
      </c>
      <c r="AM186" s="1"/>
      <c r="AN186" s="1"/>
      <c r="AO186" s="1"/>
      <c r="AP186" s="1"/>
      <c r="AQ186" s="1">
        <f>AVERAGE(AH186:AK186)</f>
        <v>13.5</v>
      </c>
      <c r="AR186" s="1"/>
      <c r="AS186" s="12">
        <f>AVERAGE(AN186:AQ186)</f>
        <v>13.5</v>
      </c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2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2"/>
      <c r="CC186" s="13">
        <f t="shared" si="78"/>
        <v>0</v>
      </c>
      <c r="CD186" s="6"/>
      <c r="CE186" s="6"/>
      <c r="CF186" s="6"/>
      <c r="CG186" s="6"/>
      <c r="CH186" s="6"/>
      <c r="CI186" s="6"/>
      <c r="CJ186" s="13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</row>
    <row r="187" spans="1:160" x14ac:dyDescent="0.3">
      <c r="A187" s="6" t="s">
        <v>305</v>
      </c>
      <c r="B187" s="10" t="s">
        <v>305</v>
      </c>
      <c r="C187" s="10" t="s">
        <v>387</v>
      </c>
      <c r="D187" s="6" t="s">
        <v>388</v>
      </c>
      <c r="E187" s="7"/>
      <c r="F187" s="7"/>
      <c r="G187" s="7"/>
      <c r="H187" s="7"/>
      <c r="I187" s="1"/>
      <c r="J187" s="1"/>
      <c r="K187" s="1"/>
      <c r="L187" s="1"/>
      <c r="M187" s="1"/>
      <c r="N187" s="1"/>
      <c r="O187" s="1"/>
      <c r="P187" s="1"/>
      <c r="Q187" s="1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2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2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2"/>
      <c r="CC187" s="13">
        <f t="shared" si="78"/>
        <v>0</v>
      </c>
      <c r="CD187" s="6"/>
      <c r="CE187" s="6"/>
      <c r="CF187" s="6"/>
      <c r="CG187" s="6"/>
      <c r="CH187" s="6"/>
      <c r="CI187" s="6"/>
      <c r="CJ187" s="13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</row>
    <row r="188" spans="1:160" x14ac:dyDescent="0.3">
      <c r="A188" s="6" t="s">
        <v>305</v>
      </c>
      <c r="B188" s="10" t="s">
        <v>305</v>
      </c>
      <c r="C188" s="10" t="s">
        <v>389</v>
      </c>
      <c r="D188" s="6" t="s">
        <v>389</v>
      </c>
      <c r="E188" s="7"/>
      <c r="F188" s="7"/>
      <c r="G188" s="7"/>
      <c r="H188" s="7"/>
      <c r="I188" s="1"/>
      <c r="J188" s="1"/>
      <c r="K188" s="1"/>
      <c r="L188" s="1"/>
      <c r="M188" s="1"/>
      <c r="N188" s="1"/>
      <c r="O188" s="1"/>
      <c r="P188" s="1"/>
      <c r="Q188" s="1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2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2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2"/>
      <c r="CC188" s="13">
        <f t="shared" si="78"/>
        <v>0</v>
      </c>
      <c r="CD188" s="6"/>
      <c r="CE188" s="6"/>
      <c r="CF188" s="6"/>
      <c r="CG188" s="6"/>
      <c r="CH188" s="6"/>
      <c r="CI188" s="6"/>
      <c r="CJ188" s="13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</row>
    <row r="189" spans="1:160" x14ac:dyDescent="0.3">
      <c r="A189" s="6" t="s">
        <v>305</v>
      </c>
      <c r="B189" s="10" t="s">
        <v>305</v>
      </c>
      <c r="C189" s="10" t="s">
        <v>390</v>
      </c>
      <c r="D189" s="6" t="s">
        <v>391</v>
      </c>
      <c r="E189" s="7"/>
      <c r="F189" s="7"/>
      <c r="G189" s="7"/>
      <c r="H189" s="7"/>
      <c r="I189" s="1"/>
      <c r="J189" s="1"/>
      <c r="K189" s="1"/>
      <c r="L189" s="1"/>
      <c r="M189" s="1"/>
      <c r="N189" s="1"/>
      <c r="O189" s="1"/>
      <c r="P189" s="1"/>
      <c r="Q189" s="1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2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2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2"/>
      <c r="CC189" s="13">
        <f t="shared" si="78"/>
        <v>0</v>
      </c>
      <c r="CD189" s="6"/>
      <c r="CE189" s="6"/>
      <c r="CF189" s="6"/>
      <c r="CG189" s="6"/>
      <c r="CH189" s="6"/>
      <c r="CI189" s="6"/>
      <c r="CJ189" s="13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</row>
    <row r="190" spans="1:160" x14ac:dyDescent="0.3">
      <c r="A190" s="6" t="s">
        <v>305</v>
      </c>
      <c r="B190" s="10" t="s">
        <v>305</v>
      </c>
      <c r="C190" s="10" t="s">
        <v>392</v>
      </c>
      <c r="D190" s="6" t="s">
        <v>393</v>
      </c>
      <c r="E190" s="7"/>
      <c r="F190" s="7"/>
      <c r="G190" s="7"/>
      <c r="H190" s="7"/>
      <c r="I190" s="1"/>
      <c r="J190" s="1"/>
      <c r="K190" s="1"/>
      <c r="L190" s="1"/>
      <c r="M190" s="1"/>
      <c r="N190" s="1"/>
      <c r="O190" s="1"/>
      <c r="P190" s="1"/>
      <c r="Q190" s="1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2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>
        <v>3</v>
      </c>
      <c r="BF190" s="1"/>
      <c r="BG190" s="1"/>
      <c r="BH190" s="1"/>
      <c r="BI190" s="1"/>
      <c r="BJ190" s="1"/>
      <c r="BK190" s="1"/>
      <c r="BL190" s="1"/>
      <c r="BM190" s="1">
        <f>AVERAGE(AV190:BI190)</f>
        <v>3</v>
      </c>
      <c r="BN190" s="12">
        <f>AVERAGE(AT190:BK190)</f>
        <v>3</v>
      </c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2"/>
      <c r="CC190" s="13">
        <f t="shared" si="78"/>
        <v>0</v>
      </c>
      <c r="CD190" s="6"/>
      <c r="CE190" s="6"/>
      <c r="CF190" s="6"/>
      <c r="CG190" s="6"/>
      <c r="CH190" s="6"/>
      <c r="CI190" s="6"/>
      <c r="CJ190" s="13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</row>
    <row r="191" spans="1:160" x14ac:dyDescent="0.3">
      <c r="A191" s="6" t="s">
        <v>305</v>
      </c>
      <c r="B191" s="10" t="s">
        <v>305</v>
      </c>
      <c r="C191" s="10" t="s">
        <v>394</v>
      </c>
      <c r="D191" s="6" t="s">
        <v>394</v>
      </c>
      <c r="E191" s="7">
        <v>12.246983999999999</v>
      </c>
      <c r="F191" s="7">
        <v>15.875719999999999</v>
      </c>
      <c r="G191" s="7"/>
      <c r="H191" s="7"/>
      <c r="I191" s="1"/>
      <c r="J191" s="1"/>
      <c r="K191" s="1"/>
      <c r="L191" s="1"/>
      <c r="M191" s="1"/>
      <c r="N191" s="1"/>
      <c r="O191" s="1"/>
      <c r="P191" s="1"/>
      <c r="Q191" s="12">
        <v>14.061351999999999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>
        <f>AVERAGE(E191:P191)</f>
        <v>14.061351999999999</v>
      </c>
      <c r="AF191" s="1"/>
      <c r="AG191" s="1">
        <f>AVERAGE(AE191:AF191)</f>
        <v>14.061351999999999</v>
      </c>
      <c r="AH191" s="1">
        <v>12</v>
      </c>
      <c r="AI191" s="1">
        <v>12</v>
      </c>
      <c r="AJ191" s="1"/>
      <c r="AK191" s="1"/>
      <c r="AL191" s="1">
        <v>12</v>
      </c>
      <c r="AM191" s="1"/>
      <c r="AN191" s="1"/>
      <c r="AO191" s="1"/>
      <c r="AP191" s="1"/>
      <c r="AQ191" s="1">
        <f>AVERAGE(AH191:AK191)</f>
        <v>12</v>
      </c>
      <c r="AR191" s="1"/>
      <c r="AS191" s="12">
        <f>AVERAGE(AN191:AQ191)</f>
        <v>12</v>
      </c>
      <c r="AT191" s="1"/>
      <c r="AU191" s="1"/>
      <c r="AV191" s="1"/>
      <c r="AW191" s="1"/>
      <c r="AX191" s="1"/>
      <c r="AY191" s="1"/>
      <c r="AZ191" s="1">
        <v>5.8</v>
      </c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>
        <f>AVERAGE(AV191:BI191)</f>
        <v>5.8</v>
      </c>
      <c r="BN191" s="12">
        <f>AVERAGE(AT191:BK191)</f>
        <v>5.8</v>
      </c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2"/>
      <c r="CC191" s="13">
        <f t="shared" si="78"/>
        <v>0</v>
      </c>
      <c r="CD191" s="6"/>
      <c r="CE191" s="6"/>
      <c r="CF191" s="6"/>
      <c r="CG191" s="6"/>
      <c r="CH191" s="6"/>
      <c r="CI191" s="6"/>
      <c r="CJ191" s="13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</row>
    <row r="192" spans="1:160" x14ac:dyDescent="0.3">
      <c r="A192" s="6" t="s">
        <v>305</v>
      </c>
      <c r="B192" s="10" t="s">
        <v>305</v>
      </c>
      <c r="C192" s="10" t="s">
        <v>395</v>
      </c>
      <c r="D192" s="6" t="s">
        <v>395</v>
      </c>
      <c r="E192" s="7">
        <v>18.14368</v>
      </c>
      <c r="F192" s="7">
        <v>20.411639999999998</v>
      </c>
      <c r="G192" s="7"/>
      <c r="H192" s="7"/>
      <c r="I192" s="1"/>
      <c r="J192" s="1"/>
      <c r="K192" s="1"/>
      <c r="L192" s="1"/>
      <c r="M192" s="1"/>
      <c r="N192" s="1"/>
      <c r="O192" s="1"/>
      <c r="P192" s="1"/>
      <c r="Q192" s="12">
        <v>19.277660000000001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>
        <f>AVERAGE(E192:P192)</f>
        <v>19.277659999999997</v>
      </c>
      <c r="AF192" s="1"/>
      <c r="AG192" s="1">
        <f>AVERAGE(AE192:AF192)</f>
        <v>19.277659999999997</v>
      </c>
      <c r="AH192" s="1">
        <v>13</v>
      </c>
      <c r="AI192" s="1">
        <v>15</v>
      </c>
      <c r="AJ192" s="1"/>
      <c r="AK192" s="1"/>
      <c r="AL192" s="1">
        <v>14</v>
      </c>
      <c r="AM192" s="1"/>
      <c r="AN192" s="1"/>
      <c r="AO192" s="1"/>
      <c r="AP192" s="1"/>
      <c r="AQ192" s="1">
        <f>AVERAGE(AH192:AK192)</f>
        <v>14</v>
      </c>
      <c r="AR192" s="1"/>
      <c r="AS192" s="12">
        <f>AVERAGE(AN192:AQ192)</f>
        <v>14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2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2"/>
      <c r="CC192" s="13">
        <f t="shared" si="78"/>
        <v>0</v>
      </c>
      <c r="CD192" s="6"/>
      <c r="CE192" s="6"/>
      <c r="CF192" s="6"/>
      <c r="CG192" s="6"/>
      <c r="CH192" s="6"/>
      <c r="CI192" s="6"/>
      <c r="CJ192" s="13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</row>
    <row r="193" spans="1:160" x14ac:dyDescent="0.3">
      <c r="A193" s="6" t="s">
        <v>305</v>
      </c>
      <c r="B193" s="10" t="s">
        <v>305</v>
      </c>
      <c r="C193" s="10" t="s">
        <v>396</v>
      </c>
      <c r="D193" s="6" t="s">
        <v>397</v>
      </c>
      <c r="E193" s="7">
        <v>16.782903999999998</v>
      </c>
      <c r="F193" s="7">
        <v>29.937072000000001</v>
      </c>
      <c r="G193" s="7"/>
      <c r="H193" s="7"/>
      <c r="I193" s="1"/>
      <c r="J193" s="1"/>
      <c r="K193" s="1"/>
      <c r="L193" s="1"/>
      <c r="M193" s="1"/>
      <c r="N193" s="1"/>
      <c r="O193" s="1"/>
      <c r="P193" s="1"/>
      <c r="Q193" s="12">
        <v>23.359988000000001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>
        <f>AVERAGE(E193:P193)</f>
        <v>23.359988000000001</v>
      </c>
      <c r="AF193" s="1"/>
      <c r="AG193" s="1">
        <f>AVERAGE(AE193:AF193)</f>
        <v>23.359988000000001</v>
      </c>
      <c r="AH193" s="1">
        <v>12</v>
      </c>
      <c r="AI193" s="1">
        <v>15</v>
      </c>
      <c r="AJ193" s="1"/>
      <c r="AK193" s="1"/>
      <c r="AL193" s="1">
        <v>13.5</v>
      </c>
      <c r="AM193" s="1"/>
      <c r="AN193" s="1"/>
      <c r="AO193" s="1"/>
      <c r="AP193" s="1"/>
      <c r="AQ193" s="1">
        <f>AVERAGE(AH193:AK193)</f>
        <v>13.5</v>
      </c>
      <c r="AR193" s="1"/>
      <c r="AS193" s="12">
        <f>AVERAGE(AN193:AQ193)</f>
        <v>13.5</v>
      </c>
      <c r="AT193" s="1"/>
      <c r="AU193" s="1"/>
      <c r="AV193" s="1"/>
      <c r="AW193" s="1"/>
      <c r="AX193" s="1"/>
      <c r="AY193" s="1"/>
      <c r="AZ193" s="1">
        <v>7.2</v>
      </c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>
        <f>AVERAGE(AV193:BI193)</f>
        <v>7.2</v>
      </c>
      <c r="BN193" s="12">
        <f>AVERAGE(AT193:BK193)</f>
        <v>7.2</v>
      </c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2"/>
      <c r="CC193" s="13">
        <f t="shared" si="78"/>
        <v>0</v>
      </c>
      <c r="CD193" s="6"/>
      <c r="CE193" s="6"/>
      <c r="CF193" s="6"/>
      <c r="CG193" s="6"/>
      <c r="CH193" s="6"/>
      <c r="CI193" s="6"/>
      <c r="CJ193" s="13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</row>
    <row r="194" spans="1:160" x14ac:dyDescent="0.3">
      <c r="A194" s="6" t="s">
        <v>305</v>
      </c>
      <c r="B194" s="10" t="s">
        <v>305</v>
      </c>
      <c r="C194" s="10" t="s">
        <v>398</v>
      </c>
      <c r="D194" s="6" t="s">
        <v>398</v>
      </c>
      <c r="E194" s="7"/>
      <c r="F194" s="7"/>
      <c r="G194" s="7"/>
      <c r="H194" s="7"/>
      <c r="I194" s="1"/>
      <c r="J194" s="1"/>
      <c r="K194" s="1"/>
      <c r="L194" s="1"/>
      <c r="M194" s="1"/>
      <c r="N194" s="1"/>
      <c r="O194" s="1"/>
      <c r="P194" s="1"/>
      <c r="Q194" s="1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2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2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2"/>
      <c r="CC194" s="13">
        <f t="shared" si="78"/>
        <v>0</v>
      </c>
      <c r="CD194" s="6"/>
      <c r="CE194" s="6"/>
      <c r="CF194" s="6"/>
      <c r="CG194" s="6"/>
      <c r="CH194" s="6"/>
      <c r="CI194" s="6"/>
      <c r="CJ194" s="13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</row>
    <row r="195" spans="1:160" x14ac:dyDescent="0.3">
      <c r="A195" s="6" t="s">
        <v>305</v>
      </c>
      <c r="B195" s="10" t="s">
        <v>305</v>
      </c>
      <c r="C195" s="10" t="s">
        <v>399</v>
      </c>
      <c r="D195" s="6" t="s">
        <v>400</v>
      </c>
      <c r="E195" s="7">
        <v>31.751439999999999</v>
      </c>
      <c r="F195" s="7">
        <v>49.895119999999999</v>
      </c>
      <c r="G195" s="7"/>
      <c r="H195" s="7"/>
      <c r="I195" s="1"/>
      <c r="J195" s="1"/>
      <c r="K195" s="1">
        <v>41</v>
      </c>
      <c r="L195" s="1">
        <v>50</v>
      </c>
      <c r="M195" s="1"/>
      <c r="N195" s="1"/>
      <c r="O195" s="1">
        <v>36</v>
      </c>
      <c r="P195" s="1">
        <v>43</v>
      </c>
      <c r="Q195" s="12">
        <v>40.823279999999997</v>
      </c>
      <c r="R195" s="1"/>
      <c r="S195" s="1"/>
      <c r="T195" s="1">
        <v>42.5</v>
      </c>
      <c r="U195" s="1">
        <v>45.5</v>
      </c>
      <c r="V195" s="1">
        <v>39.5</v>
      </c>
      <c r="W195" s="1">
        <f>AVERAGE(X195:Y195)</f>
        <v>34.25</v>
      </c>
      <c r="X195" s="1">
        <v>34.25</v>
      </c>
      <c r="Y195" s="1">
        <v>34.25</v>
      </c>
      <c r="Z195" s="1"/>
      <c r="AA195" s="1"/>
      <c r="AB195" s="1"/>
      <c r="AC195" s="1"/>
      <c r="AD195" s="1"/>
      <c r="AE195" s="1">
        <f>AVERAGE(E195:P195)</f>
        <v>41.941093333333335</v>
      </c>
      <c r="AF195" s="1">
        <f>AVERAGE(X195:AD195)</f>
        <v>34.25</v>
      </c>
      <c r="AG195" s="1">
        <f>AVERAGE(AE195:AF195)</f>
        <v>38.095546666666664</v>
      </c>
      <c r="AH195" s="1">
        <v>10</v>
      </c>
      <c r="AI195" s="1">
        <v>12</v>
      </c>
      <c r="AJ195" s="1">
        <v>10</v>
      </c>
      <c r="AK195" s="1">
        <v>12</v>
      </c>
      <c r="AL195" s="1">
        <v>11</v>
      </c>
      <c r="AM195" s="1">
        <v>11</v>
      </c>
      <c r="AN195" s="1"/>
      <c r="AO195" s="1"/>
      <c r="AP195" s="1"/>
      <c r="AQ195" s="1">
        <f>AVERAGE(AH195:AK195)</f>
        <v>11</v>
      </c>
      <c r="AR195" s="1"/>
      <c r="AS195" s="12">
        <f>AVERAGE(AN195:AQ195)</f>
        <v>11</v>
      </c>
      <c r="AT195" s="1"/>
      <c r="AU195" s="1"/>
      <c r="AV195" s="1"/>
      <c r="AW195" s="1"/>
      <c r="AX195" s="1"/>
      <c r="AY195" s="1"/>
      <c r="AZ195" s="1">
        <v>11</v>
      </c>
      <c r="BA195" s="1"/>
      <c r="BB195" s="1"/>
      <c r="BC195" s="1"/>
      <c r="BD195" s="1"/>
      <c r="BE195" s="1">
        <v>6</v>
      </c>
      <c r="BF195" s="1"/>
      <c r="BG195" s="1"/>
      <c r="BH195" s="1"/>
      <c r="BI195" s="1"/>
      <c r="BJ195" s="1"/>
      <c r="BK195" s="1"/>
      <c r="BL195" s="1"/>
      <c r="BM195" s="1">
        <f>AVERAGE(AV195:BI195)</f>
        <v>8.5</v>
      </c>
      <c r="BN195" s="12">
        <f>AVERAGE(AT195:BK195)</f>
        <v>8.5</v>
      </c>
      <c r="BO195" s="1"/>
      <c r="BP195" s="1"/>
      <c r="BQ195" s="1"/>
      <c r="BR195" s="1">
        <v>473.5</v>
      </c>
      <c r="BS195" s="1"/>
      <c r="BT195" s="1">
        <v>535</v>
      </c>
      <c r="BU195" s="1"/>
      <c r="BV195" s="1">
        <v>481</v>
      </c>
      <c r="BW195" s="1">
        <v>466</v>
      </c>
      <c r="BX195" s="1"/>
      <c r="BY195" s="1">
        <f>AVERAGE(BR195:BU195)</f>
        <v>504.25</v>
      </c>
      <c r="BZ195" s="1">
        <f>BY195/1000</f>
        <v>0.50424999999999998</v>
      </c>
      <c r="CA195" s="1">
        <f>AVERAGE(BQ195:BU195)</f>
        <v>504.25</v>
      </c>
      <c r="CB195" s="12">
        <f>CA195/1000</f>
        <v>0.50424999999999998</v>
      </c>
      <c r="CC195" s="13">
        <f t="shared" si="78"/>
        <v>4.2861250000000002</v>
      </c>
      <c r="CD195" s="6"/>
      <c r="CE195" s="6"/>
      <c r="CF195" s="6"/>
      <c r="CG195" s="6"/>
      <c r="CH195" s="6"/>
      <c r="CI195" s="6"/>
      <c r="CJ195" s="13">
        <f>((Q195-CB195)/CB195)*100</f>
        <v>7995.8413485374322</v>
      </c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</row>
    <row r="196" spans="1:160" x14ac:dyDescent="0.3">
      <c r="A196" s="6" t="s">
        <v>305</v>
      </c>
      <c r="B196" s="10" t="s">
        <v>305</v>
      </c>
      <c r="C196" s="10" t="s">
        <v>401</v>
      </c>
      <c r="D196" s="6" t="s">
        <v>402</v>
      </c>
      <c r="E196" s="7"/>
      <c r="F196" s="7"/>
      <c r="G196" s="7"/>
      <c r="H196" s="7"/>
      <c r="I196" s="1"/>
      <c r="J196" s="1"/>
      <c r="K196" s="1"/>
      <c r="L196" s="1"/>
      <c r="M196" s="1"/>
      <c r="N196" s="1"/>
      <c r="O196" s="1"/>
      <c r="P196" s="1"/>
      <c r="Q196" s="1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2"/>
      <c r="AT196" s="1"/>
      <c r="AU196" s="1"/>
      <c r="AV196" s="1"/>
      <c r="AW196" s="1"/>
      <c r="AX196" s="1"/>
      <c r="AY196" s="1"/>
      <c r="AZ196" s="1">
        <v>6.3</v>
      </c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>
        <f>AVERAGE(AV196:BI196)</f>
        <v>6.3</v>
      </c>
      <c r="BN196" s="12">
        <f>AVERAGE(AT196:BK196)</f>
        <v>6.3</v>
      </c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2"/>
      <c r="CC196" s="13">
        <f t="shared" si="78"/>
        <v>0</v>
      </c>
      <c r="CD196" s="6"/>
      <c r="CE196" s="6"/>
      <c r="CF196" s="6"/>
      <c r="CG196" s="6"/>
      <c r="CH196" s="6"/>
      <c r="CI196" s="6"/>
      <c r="CJ196" s="13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</row>
    <row r="197" spans="1:160" x14ac:dyDescent="0.3">
      <c r="A197" s="6" t="s">
        <v>305</v>
      </c>
      <c r="B197" s="10" t="s">
        <v>305</v>
      </c>
      <c r="C197" s="10" t="s">
        <v>403</v>
      </c>
      <c r="D197" s="6" t="s">
        <v>404</v>
      </c>
      <c r="E197" s="7">
        <v>24.947559999999999</v>
      </c>
      <c r="F197" s="7">
        <v>29.48348</v>
      </c>
      <c r="G197" s="7"/>
      <c r="H197" s="7"/>
      <c r="I197" s="1"/>
      <c r="J197" s="1"/>
      <c r="K197" s="1"/>
      <c r="L197" s="1"/>
      <c r="M197" s="1"/>
      <c r="N197" s="1"/>
      <c r="O197" s="1"/>
      <c r="P197" s="1"/>
      <c r="Q197" s="12">
        <v>27.215520000000001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>
        <f>AVERAGE(E197:P197)</f>
        <v>27.215519999999998</v>
      </c>
      <c r="AF197" s="1"/>
      <c r="AG197" s="1">
        <f>AVERAGE(AE197:AF197)</f>
        <v>27.215519999999998</v>
      </c>
      <c r="AH197" s="1">
        <v>10</v>
      </c>
      <c r="AI197" s="1">
        <v>12</v>
      </c>
      <c r="AJ197" s="1"/>
      <c r="AK197" s="1"/>
      <c r="AL197" s="1">
        <v>11</v>
      </c>
      <c r="AM197" s="1"/>
      <c r="AN197" s="1"/>
      <c r="AO197" s="1"/>
      <c r="AP197" s="1"/>
      <c r="AQ197" s="1">
        <f>AVERAGE(AH197:AK197)</f>
        <v>11</v>
      </c>
      <c r="AR197" s="1"/>
      <c r="AS197" s="12">
        <f>AVERAGE(AN197:AQ197)</f>
        <v>11</v>
      </c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2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2"/>
      <c r="CC197" s="13">
        <f t="shared" si="78"/>
        <v>0</v>
      </c>
      <c r="CD197" s="6"/>
      <c r="CE197" s="6"/>
      <c r="CF197" s="6"/>
      <c r="CG197" s="6"/>
      <c r="CH197" s="6"/>
      <c r="CI197" s="6"/>
      <c r="CJ197" s="13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</row>
    <row r="198" spans="1:160" x14ac:dyDescent="0.3">
      <c r="A198" s="6" t="s">
        <v>305</v>
      </c>
      <c r="B198" s="10" t="s">
        <v>305</v>
      </c>
      <c r="C198" s="10" t="s">
        <v>405</v>
      </c>
      <c r="D198" s="6" t="s">
        <v>406</v>
      </c>
      <c r="E198" s="7"/>
      <c r="F198" s="7"/>
      <c r="G198" s="7"/>
      <c r="H198" s="7"/>
      <c r="I198" s="1">
        <v>31.751439999999999</v>
      </c>
      <c r="J198" s="1">
        <v>38.101728000000001</v>
      </c>
      <c r="K198" s="1"/>
      <c r="L198" s="1"/>
      <c r="M198" s="1">
        <v>25.854744</v>
      </c>
      <c r="N198" s="1">
        <v>32.205032000000003</v>
      </c>
      <c r="O198" s="1"/>
      <c r="P198" s="1"/>
      <c r="Q198" s="12">
        <v>31.978235999999999</v>
      </c>
      <c r="R198" s="1">
        <v>34.926583999999998</v>
      </c>
      <c r="S198" s="1">
        <v>29.029888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>
        <f>AVERAGE(E198:P198)</f>
        <v>31.978235999999999</v>
      </c>
      <c r="AF198" s="1"/>
      <c r="AG198" s="1">
        <f>AVERAGE(AE198:AF198)</f>
        <v>31.978235999999999</v>
      </c>
      <c r="AH198" s="1">
        <v>13</v>
      </c>
      <c r="AI198" s="1">
        <v>15</v>
      </c>
      <c r="AJ198" s="1"/>
      <c r="AK198" s="1"/>
      <c r="AL198" s="1">
        <v>14</v>
      </c>
      <c r="AM198" s="1"/>
      <c r="AN198" s="1"/>
      <c r="AO198" s="1"/>
      <c r="AP198" s="1"/>
      <c r="AQ198" s="1">
        <f>AVERAGE(AH198:AK198)</f>
        <v>14</v>
      </c>
      <c r="AR198" s="1"/>
      <c r="AS198" s="12">
        <f>AVERAGE(AN198:AQ198)</f>
        <v>14</v>
      </c>
      <c r="AT198" s="1"/>
      <c r="AU198" s="1"/>
      <c r="AV198" s="1"/>
      <c r="AW198" s="1"/>
      <c r="AX198" s="1"/>
      <c r="AY198" s="1"/>
      <c r="AZ198" s="1">
        <v>7</v>
      </c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>
        <f>AVERAGE(AV198:BI198)</f>
        <v>7</v>
      </c>
      <c r="BN198" s="12">
        <f>AVERAGE(AT198:BK198)</f>
        <v>7</v>
      </c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2"/>
      <c r="CC198" s="13">
        <f t="shared" si="78"/>
        <v>0</v>
      </c>
      <c r="CD198" s="6"/>
      <c r="CE198" s="6"/>
      <c r="CF198" s="6"/>
      <c r="CG198" s="6"/>
      <c r="CH198" s="6"/>
      <c r="CI198" s="6"/>
      <c r="CJ198" s="13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</row>
    <row r="199" spans="1:160" x14ac:dyDescent="0.3">
      <c r="A199" s="6" t="s">
        <v>305</v>
      </c>
      <c r="B199" s="10" t="s">
        <v>305</v>
      </c>
      <c r="C199" s="10" t="s">
        <v>303</v>
      </c>
      <c r="D199" s="6" t="s">
        <v>303</v>
      </c>
      <c r="E199" s="7">
        <v>1.814368</v>
      </c>
      <c r="F199" s="7">
        <v>3.628736</v>
      </c>
      <c r="G199" s="7"/>
      <c r="H199" s="7"/>
      <c r="I199" s="1"/>
      <c r="J199" s="1"/>
      <c r="K199" s="1"/>
      <c r="L199" s="1"/>
      <c r="M199" s="1"/>
      <c r="N199" s="1"/>
      <c r="O199" s="1"/>
      <c r="P199" s="1"/>
      <c r="Q199" s="12">
        <v>2.721552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>
        <f>AVERAGE(E199:P199)</f>
        <v>2.721552</v>
      </c>
      <c r="AF199" s="1"/>
      <c r="AG199" s="1">
        <f>AVERAGE(AE199:AF199)</f>
        <v>2.721552</v>
      </c>
      <c r="AH199" s="1">
        <v>16</v>
      </c>
      <c r="AI199" s="1">
        <v>16</v>
      </c>
      <c r="AJ199" s="1"/>
      <c r="AK199" s="1"/>
      <c r="AL199" s="1">
        <v>16</v>
      </c>
      <c r="AM199" s="1"/>
      <c r="AN199" s="1"/>
      <c r="AO199" s="1"/>
      <c r="AP199" s="1"/>
      <c r="AQ199" s="1">
        <f>AVERAGE(AH199:AK199)</f>
        <v>16</v>
      </c>
      <c r="AR199" s="1"/>
      <c r="AS199" s="12">
        <f>AVERAGE(AN199:AQ199)</f>
        <v>16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2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2"/>
      <c r="CC199" s="13">
        <f t="shared" si="78"/>
        <v>0</v>
      </c>
      <c r="CD199" s="6"/>
      <c r="CE199" s="6"/>
      <c r="CF199" s="6"/>
      <c r="CG199" s="6"/>
      <c r="CH199" s="6"/>
      <c r="CI199" s="6"/>
      <c r="CJ199" s="13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</row>
    <row r="200" spans="1:160" x14ac:dyDescent="0.3">
      <c r="A200" s="6" t="s">
        <v>305</v>
      </c>
      <c r="B200" s="10" t="s">
        <v>305</v>
      </c>
      <c r="C200" s="10" t="s">
        <v>407</v>
      </c>
      <c r="D200" s="6" t="s">
        <v>407</v>
      </c>
      <c r="E200" s="7"/>
      <c r="F200" s="7"/>
      <c r="G200" s="7"/>
      <c r="H200" s="7"/>
      <c r="I200" s="1"/>
      <c r="J200" s="1"/>
      <c r="K200" s="1"/>
      <c r="L200" s="1"/>
      <c r="M200" s="1"/>
      <c r="N200" s="1"/>
      <c r="O200" s="1"/>
      <c r="P200" s="1"/>
      <c r="Q200" s="1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2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2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2"/>
      <c r="CC200" s="13">
        <f t="shared" si="78"/>
        <v>0</v>
      </c>
      <c r="CD200" s="6"/>
      <c r="CE200" s="6"/>
      <c r="CF200" s="6"/>
      <c r="CG200" s="6"/>
      <c r="CH200" s="6"/>
      <c r="CI200" s="6"/>
      <c r="CJ200" s="13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</row>
    <row r="201" spans="1:160" x14ac:dyDescent="0.3">
      <c r="A201" s="6" t="s">
        <v>305</v>
      </c>
      <c r="B201" s="10" t="s">
        <v>305</v>
      </c>
      <c r="C201" s="10" t="s">
        <v>408</v>
      </c>
      <c r="D201" s="6" t="s">
        <v>409</v>
      </c>
      <c r="E201" s="7">
        <v>29.48348</v>
      </c>
      <c r="F201" s="7">
        <v>49.895119999999999</v>
      </c>
      <c r="G201" s="7">
        <v>25</v>
      </c>
      <c r="H201" s="7">
        <v>34</v>
      </c>
      <c r="I201" s="1"/>
      <c r="J201" s="1"/>
      <c r="K201" s="1"/>
      <c r="L201" s="1"/>
      <c r="M201" s="1"/>
      <c r="N201" s="1"/>
      <c r="O201" s="1"/>
      <c r="P201" s="1"/>
      <c r="Q201" s="12">
        <v>39.689300000000003</v>
      </c>
      <c r="R201" s="1"/>
      <c r="S201" s="1"/>
      <c r="T201" s="1">
        <v>29.5</v>
      </c>
      <c r="U201" s="1"/>
      <c r="V201" s="1"/>
      <c r="W201" s="1"/>
      <c r="X201" s="1"/>
      <c r="Y201" s="1"/>
      <c r="Z201" s="1"/>
      <c r="AA201" s="1">
        <v>28.5</v>
      </c>
      <c r="AB201" s="1">
        <v>31.18</v>
      </c>
      <c r="AC201" s="1"/>
      <c r="AD201" s="1"/>
      <c r="AE201" s="1">
        <f>AVERAGE(E201:P201)</f>
        <v>34.594650000000001</v>
      </c>
      <c r="AF201" s="1">
        <f>AVERAGE(X201:AD201)</f>
        <v>29.84</v>
      </c>
      <c r="AG201" s="1">
        <f>AVERAGE(AE201:AF201)</f>
        <v>32.217325000000002</v>
      </c>
      <c r="AH201" s="1">
        <v>10</v>
      </c>
      <c r="AI201" s="1">
        <v>12</v>
      </c>
      <c r="AJ201" s="1">
        <v>11</v>
      </c>
      <c r="AK201" s="1">
        <v>12</v>
      </c>
      <c r="AL201" s="1">
        <v>11</v>
      </c>
      <c r="AM201" s="1">
        <v>11.5</v>
      </c>
      <c r="AN201" s="1"/>
      <c r="AO201" s="1"/>
      <c r="AP201" s="1"/>
      <c r="AQ201" s="1">
        <f>AVERAGE(AH201:AK201)</f>
        <v>11.25</v>
      </c>
      <c r="AR201" s="1"/>
      <c r="AS201" s="12">
        <f>AVERAGE(AN201:AQ201)</f>
        <v>11.25</v>
      </c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2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2"/>
      <c r="CC201" s="13">
        <f t="shared" si="78"/>
        <v>0</v>
      </c>
      <c r="CD201" s="6"/>
      <c r="CE201" s="6"/>
      <c r="CF201" s="6"/>
      <c r="CG201" s="6"/>
      <c r="CH201" s="6"/>
      <c r="CI201" s="6"/>
      <c r="CJ201" s="13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</row>
    <row r="202" spans="1:160" x14ac:dyDescent="0.3">
      <c r="A202" s="6" t="s">
        <v>305</v>
      </c>
      <c r="B202" s="10" t="s">
        <v>305</v>
      </c>
      <c r="C202" s="10" t="s">
        <v>410</v>
      </c>
      <c r="D202" s="6" t="s">
        <v>411</v>
      </c>
      <c r="E202" s="7"/>
      <c r="F202" s="7"/>
      <c r="G202" s="7"/>
      <c r="H202" s="7"/>
      <c r="I202" s="1"/>
      <c r="J202" s="1"/>
      <c r="K202" s="1"/>
      <c r="L202" s="1"/>
      <c r="M202" s="1"/>
      <c r="N202" s="1"/>
      <c r="O202" s="1"/>
      <c r="P202" s="1"/>
      <c r="Q202" s="1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2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2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2"/>
      <c r="CC202" s="13">
        <f t="shared" si="78"/>
        <v>0</v>
      </c>
      <c r="CD202" s="6"/>
      <c r="CE202" s="6"/>
      <c r="CF202" s="6"/>
      <c r="CG202" s="6"/>
      <c r="CH202" s="6"/>
      <c r="CI202" s="6"/>
      <c r="CJ202" s="13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</row>
    <row r="203" spans="1:160" x14ac:dyDescent="0.3">
      <c r="A203" s="6" t="s">
        <v>305</v>
      </c>
      <c r="B203" s="10" t="s">
        <v>305</v>
      </c>
      <c r="C203" s="10" t="s">
        <v>412</v>
      </c>
      <c r="D203" s="6" t="s">
        <v>412</v>
      </c>
      <c r="E203" s="7"/>
      <c r="F203" s="7"/>
      <c r="G203" s="7"/>
      <c r="H203" s="7"/>
      <c r="I203" s="1"/>
      <c r="J203" s="1"/>
      <c r="K203" s="1"/>
      <c r="L203" s="1"/>
      <c r="M203" s="1"/>
      <c r="N203" s="1"/>
      <c r="O203" s="1"/>
      <c r="P203" s="1"/>
      <c r="Q203" s="1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2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2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2"/>
      <c r="CC203" s="13">
        <f t="shared" si="78"/>
        <v>0</v>
      </c>
      <c r="CD203" s="6"/>
      <c r="CE203" s="6"/>
      <c r="CF203" s="6"/>
      <c r="CG203" s="6"/>
      <c r="CH203" s="6"/>
      <c r="CI203" s="6"/>
      <c r="CJ203" s="13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</row>
    <row r="204" spans="1:160" x14ac:dyDescent="0.3">
      <c r="A204" s="6" t="s">
        <v>305</v>
      </c>
      <c r="B204" s="10" t="s">
        <v>305</v>
      </c>
      <c r="C204" s="10" t="s">
        <v>413</v>
      </c>
      <c r="D204" s="6" t="s">
        <v>413</v>
      </c>
      <c r="E204" s="7"/>
      <c r="F204" s="7"/>
      <c r="G204" s="7"/>
      <c r="H204" s="7"/>
      <c r="I204" s="1"/>
      <c r="J204" s="1"/>
      <c r="K204" s="1"/>
      <c r="L204" s="1"/>
      <c r="M204" s="1"/>
      <c r="N204" s="1"/>
      <c r="O204" s="1"/>
      <c r="P204" s="1"/>
      <c r="Q204" s="1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2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2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2"/>
      <c r="CC204" s="13">
        <f t="shared" si="78"/>
        <v>0</v>
      </c>
      <c r="CD204" s="6"/>
      <c r="CE204" s="6"/>
      <c r="CF204" s="6"/>
      <c r="CG204" s="6"/>
      <c r="CH204" s="6"/>
      <c r="CI204" s="6"/>
      <c r="CJ204" s="13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</row>
    <row r="205" spans="1:160" x14ac:dyDescent="0.3">
      <c r="A205" s="6" t="s">
        <v>305</v>
      </c>
      <c r="B205" s="10" t="s">
        <v>305</v>
      </c>
      <c r="C205" s="10" t="s">
        <v>414</v>
      </c>
      <c r="D205" s="6" t="s">
        <v>414</v>
      </c>
      <c r="E205" s="7"/>
      <c r="F205" s="7"/>
      <c r="G205" s="7"/>
      <c r="H205" s="7"/>
      <c r="I205" s="1"/>
      <c r="J205" s="1"/>
      <c r="K205" s="1"/>
      <c r="L205" s="1"/>
      <c r="M205" s="1"/>
      <c r="N205" s="1"/>
      <c r="O205" s="1"/>
      <c r="P205" s="1"/>
      <c r="Q205" s="1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2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2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2"/>
      <c r="CC205" s="13">
        <f t="shared" si="78"/>
        <v>0</v>
      </c>
      <c r="CD205" s="6"/>
      <c r="CE205" s="6"/>
      <c r="CF205" s="6"/>
      <c r="CG205" s="6"/>
      <c r="CH205" s="6"/>
      <c r="CI205" s="6"/>
      <c r="CJ205" s="13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</row>
    <row r="206" spans="1:160" x14ac:dyDescent="0.3">
      <c r="A206" s="6" t="s">
        <v>305</v>
      </c>
      <c r="B206" s="10" t="s">
        <v>305</v>
      </c>
      <c r="C206" s="10" t="s">
        <v>415</v>
      </c>
      <c r="D206" s="6" t="s">
        <v>415</v>
      </c>
      <c r="E206" s="7"/>
      <c r="F206" s="7"/>
      <c r="G206" s="7"/>
      <c r="H206" s="7"/>
      <c r="I206" s="1"/>
      <c r="J206" s="1"/>
      <c r="K206" s="1">
        <v>25</v>
      </c>
      <c r="L206" s="1">
        <v>36</v>
      </c>
      <c r="M206" s="1"/>
      <c r="N206" s="1"/>
      <c r="O206" s="1">
        <v>20.5</v>
      </c>
      <c r="P206" s="1">
        <v>29.5</v>
      </c>
      <c r="Q206" s="12"/>
      <c r="R206" s="1"/>
      <c r="S206" s="1"/>
      <c r="T206" s="1">
        <v>27.75</v>
      </c>
      <c r="U206" s="1">
        <v>30.5</v>
      </c>
      <c r="V206" s="1">
        <v>25</v>
      </c>
      <c r="W206" s="1"/>
      <c r="X206" s="1"/>
      <c r="Y206" s="1"/>
      <c r="Z206" s="1"/>
      <c r="AA206" s="1"/>
      <c r="AB206" s="1"/>
      <c r="AC206" s="1"/>
      <c r="AD206" s="1"/>
      <c r="AE206" s="1">
        <f>AVERAGE(E206:P206)</f>
        <v>27.75</v>
      </c>
      <c r="AF206" s="1"/>
      <c r="AG206" s="1">
        <f>AVERAGE(AE206:AF206)</f>
        <v>27.75</v>
      </c>
      <c r="AH206" s="1"/>
      <c r="AI206" s="1"/>
      <c r="AJ206" s="1">
        <v>11</v>
      </c>
      <c r="AK206" s="1">
        <v>12</v>
      </c>
      <c r="AL206" s="1"/>
      <c r="AM206" s="1">
        <v>11.5</v>
      </c>
      <c r="AN206" s="1"/>
      <c r="AO206" s="1"/>
      <c r="AP206" s="1"/>
      <c r="AQ206" s="1">
        <f>AVERAGE(AH206:AK206)</f>
        <v>11.5</v>
      </c>
      <c r="AR206" s="1"/>
      <c r="AS206" s="12">
        <f>AVERAGE(AN206:AQ206)</f>
        <v>11.5</v>
      </c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2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2"/>
      <c r="CC206" s="13">
        <f t="shared" si="78"/>
        <v>0</v>
      </c>
      <c r="CD206" s="6"/>
      <c r="CE206" s="6"/>
      <c r="CF206" s="6"/>
      <c r="CG206" s="6"/>
      <c r="CH206" s="6"/>
      <c r="CI206" s="6"/>
      <c r="CJ206" s="13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</row>
    <row r="207" spans="1:160" x14ac:dyDescent="0.3">
      <c r="A207" s="6" t="s">
        <v>305</v>
      </c>
      <c r="B207" s="10" t="s">
        <v>305</v>
      </c>
      <c r="C207" s="10" t="s">
        <v>416</v>
      </c>
      <c r="D207" s="6" t="s">
        <v>417</v>
      </c>
      <c r="E207" s="7"/>
      <c r="F207" s="7"/>
      <c r="G207" s="7"/>
      <c r="H207" s="7"/>
      <c r="I207" s="1"/>
      <c r="J207" s="1"/>
      <c r="K207" s="1"/>
      <c r="L207" s="1"/>
      <c r="M207" s="1"/>
      <c r="N207" s="1"/>
      <c r="O207" s="1"/>
      <c r="P207" s="1"/>
      <c r="Q207" s="1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2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2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2"/>
      <c r="CC207" s="13">
        <f t="shared" si="78"/>
        <v>0</v>
      </c>
      <c r="CD207" s="6"/>
      <c r="CE207" s="6"/>
      <c r="CF207" s="6"/>
      <c r="CG207" s="6"/>
      <c r="CH207" s="6"/>
      <c r="CI207" s="6"/>
      <c r="CJ207" s="13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</row>
    <row r="208" spans="1:160" x14ac:dyDescent="0.3">
      <c r="A208" s="6" t="s">
        <v>305</v>
      </c>
      <c r="B208" s="10" t="s">
        <v>305</v>
      </c>
      <c r="C208" s="10" t="s">
        <v>418</v>
      </c>
      <c r="D208" s="6" t="s">
        <v>419</v>
      </c>
      <c r="E208" s="7"/>
      <c r="F208" s="7"/>
      <c r="G208" s="7"/>
      <c r="H208" s="7"/>
      <c r="I208" s="1"/>
      <c r="J208" s="1"/>
      <c r="K208" s="1"/>
      <c r="L208" s="1"/>
      <c r="M208" s="1"/>
      <c r="N208" s="1"/>
      <c r="O208" s="1"/>
      <c r="P208" s="1"/>
      <c r="Q208" s="1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2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2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2"/>
      <c r="CC208" s="13">
        <f t="shared" si="78"/>
        <v>0</v>
      </c>
      <c r="CD208" s="6"/>
      <c r="CE208" s="6"/>
      <c r="CF208" s="6"/>
      <c r="CG208" s="6"/>
      <c r="CH208" s="6"/>
      <c r="CI208" s="6"/>
      <c r="CJ208" s="13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</row>
    <row r="209" spans="1:160" x14ac:dyDescent="0.3">
      <c r="A209" s="6" t="s">
        <v>305</v>
      </c>
      <c r="B209" s="10" t="s">
        <v>305</v>
      </c>
      <c r="C209" s="10" t="s">
        <v>420</v>
      </c>
      <c r="D209" s="6" t="s">
        <v>421</v>
      </c>
      <c r="E209" s="7"/>
      <c r="F209" s="7"/>
      <c r="G209" s="7"/>
      <c r="H209" s="7"/>
      <c r="I209" s="1"/>
      <c r="J209" s="1"/>
      <c r="K209" s="1"/>
      <c r="L209" s="1"/>
      <c r="M209" s="1"/>
      <c r="N209" s="1"/>
      <c r="O209" s="1"/>
      <c r="P209" s="1"/>
      <c r="Q209" s="1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2"/>
      <c r="AT209" s="1"/>
      <c r="AU209" s="1"/>
      <c r="AV209" s="1"/>
      <c r="AW209" s="1"/>
      <c r="AX209" s="1"/>
      <c r="AY209" s="1"/>
      <c r="AZ209" s="1">
        <v>4.7</v>
      </c>
      <c r="BA209" s="1"/>
      <c r="BB209" s="1"/>
      <c r="BC209" s="1"/>
      <c r="BD209" s="1"/>
      <c r="BE209" s="1">
        <v>3</v>
      </c>
      <c r="BF209" s="1"/>
      <c r="BG209" s="1"/>
      <c r="BH209" s="1"/>
      <c r="BI209" s="1"/>
      <c r="BJ209" s="1"/>
      <c r="BK209" s="1"/>
      <c r="BL209" s="1"/>
      <c r="BM209" s="1">
        <f>AVERAGE(AV209:BI209)</f>
        <v>3.85</v>
      </c>
      <c r="BN209" s="12">
        <f>AVERAGE(AT209:BK209)</f>
        <v>3.85</v>
      </c>
      <c r="BO209" s="1"/>
      <c r="BP209" s="1"/>
      <c r="BQ209" s="1"/>
      <c r="BR209" s="1"/>
      <c r="BS209" s="1"/>
      <c r="BT209" s="1">
        <v>137.5</v>
      </c>
      <c r="BU209" s="1"/>
      <c r="BV209" s="1"/>
      <c r="BW209" s="1"/>
      <c r="BX209" s="1"/>
      <c r="BY209" s="1">
        <f>AVERAGE(BR209:BU209)</f>
        <v>137.5</v>
      </c>
      <c r="BZ209" s="1">
        <f>BY209/1000</f>
        <v>0.13750000000000001</v>
      </c>
      <c r="CA209" s="1">
        <f>AVERAGE(BQ209:BU209)</f>
        <v>137.5</v>
      </c>
      <c r="CB209" s="12">
        <f>CA209/1000</f>
        <v>0.13750000000000001</v>
      </c>
      <c r="CC209" s="13">
        <f t="shared" si="78"/>
        <v>0.52937500000000004</v>
      </c>
      <c r="CD209" s="6"/>
      <c r="CE209" s="6"/>
      <c r="CF209" s="6"/>
      <c r="CG209" s="6"/>
      <c r="CH209" s="6"/>
      <c r="CI209" s="6"/>
      <c r="CJ209" s="13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</row>
    <row r="210" spans="1:160" x14ac:dyDescent="0.3">
      <c r="A210" s="6" t="s">
        <v>305</v>
      </c>
      <c r="B210" s="10" t="s">
        <v>305</v>
      </c>
      <c r="C210" s="10" t="s">
        <v>422</v>
      </c>
      <c r="D210" s="6" t="s">
        <v>423</v>
      </c>
      <c r="E210" s="7">
        <v>15.875719999999999</v>
      </c>
      <c r="F210" s="7">
        <v>24.040375999999998</v>
      </c>
      <c r="G210" s="7"/>
      <c r="H210" s="7"/>
      <c r="I210" s="1"/>
      <c r="J210" s="1"/>
      <c r="K210" s="1"/>
      <c r="L210" s="1"/>
      <c r="M210" s="1"/>
      <c r="N210" s="1"/>
      <c r="O210" s="1"/>
      <c r="P210" s="1"/>
      <c r="Q210" s="12">
        <v>19.958048000000002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>
        <f>AVERAGE(E210:P210)</f>
        <v>19.958047999999998</v>
      </c>
      <c r="AF210" s="1"/>
      <c r="AG210" s="1">
        <f>AVERAGE(AE210:AF210)</f>
        <v>19.958047999999998</v>
      </c>
      <c r="AH210" s="1">
        <v>10</v>
      </c>
      <c r="AI210" s="1">
        <v>12</v>
      </c>
      <c r="AJ210" s="1"/>
      <c r="AK210" s="1"/>
      <c r="AL210" s="1">
        <v>11</v>
      </c>
      <c r="AM210" s="1"/>
      <c r="AN210" s="1"/>
      <c r="AO210" s="1"/>
      <c r="AP210" s="1"/>
      <c r="AQ210" s="1">
        <f>AVERAGE(AH210:AK210)</f>
        <v>11</v>
      </c>
      <c r="AR210" s="1"/>
      <c r="AS210" s="12">
        <f>AVERAGE(AN210:AQ210)</f>
        <v>11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2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2"/>
      <c r="CC210" s="13">
        <f t="shared" si="78"/>
        <v>0</v>
      </c>
      <c r="CD210" s="6"/>
      <c r="CE210" s="6"/>
      <c r="CF210" s="6"/>
      <c r="CG210" s="6"/>
      <c r="CH210" s="6"/>
      <c r="CI210" s="6"/>
      <c r="CJ210" s="13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</row>
    <row r="211" spans="1:160" x14ac:dyDescent="0.3">
      <c r="A211" s="6" t="s">
        <v>305</v>
      </c>
      <c r="B211" s="10" t="s">
        <v>305</v>
      </c>
      <c r="C211" s="10" t="s">
        <v>424</v>
      </c>
      <c r="D211" s="6" t="s">
        <v>424</v>
      </c>
      <c r="E211" s="7"/>
      <c r="F211" s="7"/>
      <c r="G211" s="7"/>
      <c r="H211" s="7"/>
      <c r="I211" s="1"/>
      <c r="J211" s="1"/>
      <c r="K211" s="1"/>
      <c r="L211" s="1"/>
      <c r="M211" s="1"/>
      <c r="N211" s="1"/>
      <c r="O211" s="1"/>
      <c r="P211" s="1"/>
      <c r="Q211" s="1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2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2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2"/>
      <c r="CC211" s="13">
        <f t="shared" si="78"/>
        <v>0</v>
      </c>
      <c r="CD211" s="6"/>
      <c r="CE211" s="6"/>
      <c r="CF211" s="6"/>
      <c r="CG211" s="6"/>
      <c r="CH211" s="6"/>
      <c r="CI211" s="6"/>
      <c r="CJ211" s="13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</row>
    <row r="212" spans="1:160" x14ac:dyDescent="0.3">
      <c r="A212" s="6" t="s">
        <v>305</v>
      </c>
      <c r="B212" s="10" t="s">
        <v>305</v>
      </c>
      <c r="C212" s="10" t="s">
        <v>425</v>
      </c>
      <c r="D212" s="6" t="s">
        <v>425</v>
      </c>
      <c r="E212" s="7"/>
      <c r="F212" s="7"/>
      <c r="G212" s="7">
        <v>11</v>
      </c>
      <c r="H212" s="7">
        <v>18</v>
      </c>
      <c r="I212" s="1">
        <v>13.607760000000001</v>
      </c>
      <c r="J212" s="1">
        <v>18.14368</v>
      </c>
      <c r="K212" s="1"/>
      <c r="L212" s="1"/>
      <c r="M212" s="1">
        <v>11.3398</v>
      </c>
      <c r="N212" s="1">
        <v>15.875719999999999</v>
      </c>
      <c r="O212" s="1"/>
      <c r="P212" s="1"/>
      <c r="Q212" s="12">
        <v>14.74174</v>
      </c>
      <c r="R212" s="1">
        <v>15.875719999999999</v>
      </c>
      <c r="S212" s="1">
        <v>13.607760000000001</v>
      </c>
      <c r="T212" s="1">
        <v>14.5</v>
      </c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>
        <f>AVERAGE(E212:P212)</f>
        <v>14.661160000000001</v>
      </c>
      <c r="AF212" s="1"/>
      <c r="AG212" s="1">
        <f>AVERAGE(AE212:AF212)</f>
        <v>14.661160000000001</v>
      </c>
      <c r="AH212" s="1">
        <v>10</v>
      </c>
      <c r="AI212" s="1">
        <v>15</v>
      </c>
      <c r="AJ212" s="1">
        <v>14</v>
      </c>
      <c r="AK212" s="1">
        <v>16</v>
      </c>
      <c r="AL212" s="1">
        <v>12.5</v>
      </c>
      <c r="AM212" s="1">
        <v>15</v>
      </c>
      <c r="AN212" s="1"/>
      <c r="AO212" s="1"/>
      <c r="AP212" s="1"/>
      <c r="AQ212" s="1">
        <f>AVERAGE(AH212:AK212)</f>
        <v>13.75</v>
      </c>
      <c r="AR212" s="1"/>
      <c r="AS212" s="12">
        <f>AVERAGE(AN212:AQ212)</f>
        <v>13.75</v>
      </c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2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2"/>
      <c r="CC212" s="13">
        <f t="shared" si="78"/>
        <v>0</v>
      </c>
      <c r="CD212" s="6"/>
      <c r="CE212" s="6"/>
      <c r="CF212" s="6"/>
      <c r="CG212" s="6"/>
      <c r="CH212" s="6"/>
      <c r="CI212" s="6"/>
      <c r="CJ212" s="13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</row>
    <row r="213" spans="1:160" x14ac:dyDescent="0.3">
      <c r="A213" s="6" t="s">
        <v>305</v>
      </c>
      <c r="B213" s="10" t="s">
        <v>305</v>
      </c>
      <c r="C213" s="10" t="s">
        <v>426</v>
      </c>
      <c r="D213" s="6" t="s">
        <v>426</v>
      </c>
      <c r="E213" s="7"/>
      <c r="F213" s="7"/>
      <c r="G213" s="7"/>
      <c r="H213" s="7"/>
      <c r="I213" s="1"/>
      <c r="J213" s="1"/>
      <c r="K213" s="1"/>
      <c r="L213" s="1"/>
      <c r="M213" s="1"/>
      <c r="N213" s="1"/>
      <c r="O213" s="1"/>
      <c r="P213" s="1"/>
      <c r="Q213" s="1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2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2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2"/>
      <c r="CC213" s="13">
        <f t="shared" si="78"/>
        <v>0</v>
      </c>
      <c r="CD213" s="6"/>
      <c r="CE213" s="6"/>
      <c r="CF213" s="6"/>
      <c r="CG213" s="6"/>
      <c r="CH213" s="6"/>
      <c r="CI213" s="6"/>
      <c r="CJ213" s="13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</row>
    <row r="214" spans="1:160" x14ac:dyDescent="0.3">
      <c r="A214" s="6" t="s">
        <v>305</v>
      </c>
      <c r="B214" s="10" t="s">
        <v>305</v>
      </c>
      <c r="C214" s="10" t="s">
        <v>427</v>
      </c>
      <c r="D214" s="6" t="s">
        <v>427</v>
      </c>
      <c r="E214" s="7">
        <v>40.823279999999997</v>
      </c>
      <c r="F214" s="7">
        <v>68.038799999999995</v>
      </c>
      <c r="G214" s="7"/>
      <c r="H214" s="7"/>
      <c r="I214" s="1"/>
      <c r="J214" s="1"/>
      <c r="K214" s="1"/>
      <c r="L214" s="1"/>
      <c r="M214" s="1"/>
      <c r="N214" s="1"/>
      <c r="O214" s="1"/>
      <c r="P214" s="1"/>
      <c r="Q214" s="12">
        <v>54.431040000000003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>
        <f>AVERAGE(E214:P214)</f>
        <v>54.431039999999996</v>
      </c>
      <c r="AF214" s="1"/>
      <c r="AG214" s="1">
        <f>AVERAGE(AE214:AF214)</f>
        <v>54.431039999999996</v>
      </c>
      <c r="AH214" s="1">
        <v>8</v>
      </c>
      <c r="AI214" s="1">
        <v>10</v>
      </c>
      <c r="AJ214" s="1"/>
      <c r="AK214" s="1"/>
      <c r="AL214" s="1">
        <v>9</v>
      </c>
      <c r="AM214" s="1"/>
      <c r="AN214" s="1"/>
      <c r="AO214" s="1"/>
      <c r="AP214" s="1"/>
      <c r="AQ214" s="1">
        <f>AVERAGE(AH214:AK214)</f>
        <v>9</v>
      </c>
      <c r="AR214" s="1"/>
      <c r="AS214" s="12">
        <f>AVERAGE(AN214:AQ214)</f>
        <v>9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2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2"/>
      <c r="CC214" s="13">
        <f t="shared" si="78"/>
        <v>0</v>
      </c>
      <c r="CD214" s="6"/>
      <c r="CE214" s="6"/>
      <c r="CF214" s="6"/>
      <c r="CG214" s="6"/>
      <c r="CH214" s="6"/>
      <c r="CI214" s="6"/>
      <c r="CJ214" s="13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</row>
    <row r="215" spans="1:160" x14ac:dyDescent="0.3">
      <c r="A215" s="6" t="s">
        <v>305</v>
      </c>
      <c r="B215" s="10" t="s">
        <v>305</v>
      </c>
      <c r="C215" s="10" t="s">
        <v>428</v>
      </c>
      <c r="D215" s="6" t="s">
        <v>428</v>
      </c>
      <c r="E215" s="7"/>
      <c r="F215" s="7"/>
      <c r="G215" s="7"/>
      <c r="H215" s="7"/>
      <c r="I215" s="1"/>
      <c r="J215" s="1"/>
      <c r="K215" s="1"/>
      <c r="L215" s="1"/>
      <c r="M215" s="1"/>
      <c r="N215" s="1"/>
      <c r="O215" s="1"/>
      <c r="P215" s="1"/>
      <c r="Q215" s="1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2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2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2"/>
      <c r="CC215" s="13">
        <f t="shared" si="78"/>
        <v>0</v>
      </c>
      <c r="CD215" s="6"/>
      <c r="CE215" s="6"/>
      <c r="CF215" s="6"/>
      <c r="CG215" s="6"/>
      <c r="CH215" s="6"/>
      <c r="CI215" s="6"/>
      <c r="CJ215" s="13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</row>
    <row r="216" spans="1:160" x14ac:dyDescent="0.3">
      <c r="A216" s="6" t="s">
        <v>305</v>
      </c>
      <c r="B216" s="10" t="s">
        <v>305</v>
      </c>
      <c r="C216" s="10" t="s">
        <v>429</v>
      </c>
      <c r="D216" s="6" t="s">
        <v>429</v>
      </c>
      <c r="E216" s="7"/>
      <c r="F216" s="7"/>
      <c r="G216" s="7"/>
      <c r="H216" s="7"/>
      <c r="I216" s="1">
        <v>20.411639999999998</v>
      </c>
      <c r="J216" s="1">
        <v>24.947559999999999</v>
      </c>
      <c r="K216" s="1">
        <v>20.5</v>
      </c>
      <c r="L216" s="1">
        <v>25</v>
      </c>
      <c r="M216" s="1">
        <v>15.875719999999999</v>
      </c>
      <c r="N216" s="1">
        <v>20.411639999999998</v>
      </c>
      <c r="O216" s="1">
        <v>16</v>
      </c>
      <c r="P216" s="1">
        <v>20.5</v>
      </c>
      <c r="Q216" s="12">
        <v>20.411639999999998</v>
      </c>
      <c r="R216" s="1">
        <v>22.679600000000001</v>
      </c>
      <c r="S216" s="1">
        <v>18.14368</v>
      </c>
      <c r="T216" s="1">
        <v>20.5</v>
      </c>
      <c r="U216" s="1">
        <v>22.75</v>
      </c>
      <c r="V216" s="1">
        <v>18.25</v>
      </c>
      <c r="W216" s="1">
        <f>AVERAGE(X216:Y216)</f>
        <v>20.5</v>
      </c>
      <c r="X216" s="1">
        <v>20.5</v>
      </c>
      <c r="Y216" s="1">
        <v>20.5</v>
      </c>
      <c r="Z216" s="1"/>
      <c r="AA216" s="1"/>
      <c r="AB216" s="1"/>
      <c r="AC216" s="1"/>
      <c r="AD216" s="1"/>
      <c r="AE216" s="1">
        <f>AVERAGE(E216:P216)</f>
        <v>20.455819999999999</v>
      </c>
      <c r="AF216" s="1">
        <f>AVERAGE(X216:AD216)</f>
        <v>20.5</v>
      </c>
      <c r="AG216" s="1">
        <f>AVERAGE(AE216:AF216)</f>
        <v>20.477910000000001</v>
      </c>
      <c r="AH216" s="1">
        <v>12</v>
      </c>
      <c r="AI216" s="1">
        <v>15</v>
      </c>
      <c r="AJ216" s="1">
        <v>12</v>
      </c>
      <c r="AK216" s="1">
        <v>13</v>
      </c>
      <c r="AL216" s="1">
        <v>13.5</v>
      </c>
      <c r="AM216" s="1">
        <v>12.5</v>
      </c>
      <c r="AN216" s="1"/>
      <c r="AO216" s="1"/>
      <c r="AP216" s="1"/>
      <c r="AQ216" s="1">
        <f>AVERAGE(AH216:AK216)</f>
        <v>13</v>
      </c>
      <c r="AR216" s="1"/>
      <c r="AS216" s="12">
        <f>AVERAGE(AN216:AQ216)</f>
        <v>13</v>
      </c>
      <c r="AT216" s="1">
        <v>5</v>
      </c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>
        <f>AVERAGE(AT216:AU216)</f>
        <v>5</v>
      </c>
      <c r="BM216" s="1"/>
      <c r="BN216" s="12">
        <f>AVERAGE(AT216:BK216)</f>
        <v>5</v>
      </c>
      <c r="BO216" s="1"/>
      <c r="BP216" s="1"/>
      <c r="BQ216" s="1">
        <v>411.06774999999999</v>
      </c>
      <c r="BR216" s="1">
        <v>413</v>
      </c>
      <c r="BS216" s="1"/>
      <c r="BT216" s="1"/>
      <c r="BU216" s="1"/>
      <c r="BV216" s="1">
        <v>418</v>
      </c>
      <c r="BW216" s="1">
        <v>408</v>
      </c>
      <c r="BX216" s="1">
        <v>411.06774999999999</v>
      </c>
      <c r="BY216" s="1">
        <f>AVERAGE(BR216:BU216)</f>
        <v>413</v>
      </c>
      <c r="BZ216" s="1">
        <f>BY216/1000</f>
        <v>0.41299999999999998</v>
      </c>
      <c r="CA216" s="1">
        <f>AVERAGE(BQ216:BU216)</f>
        <v>412.03387499999997</v>
      </c>
      <c r="CB216" s="12">
        <f>CA216/1000</f>
        <v>0.41203387499999999</v>
      </c>
      <c r="CC216" s="13">
        <f t="shared" si="78"/>
        <v>2.0601693750000001</v>
      </c>
      <c r="CD216" s="6"/>
      <c r="CE216" s="6"/>
      <c r="CF216" s="6"/>
      <c r="CG216" s="6"/>
      <c r="CH216" s="6"/>
      <c r="CI216" s="6"/>
      <c r="CJ216" s="13">
        <f>((Q216-CB216)/CB216)*100</f>
        <v>4853.8742415292918</v>
      </c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</row>
    <row r="217" spans="1:160" x14ac:dyDescent="0.3">
      <c r="A217" s="6" t="s">
        <v>305</v>
      </c>
      <c r="B217" s="10" t="s">
        <v>305</v>
      </c>
      <c r="C217" s="10" t="s">
        <v>430</v>
      </c>
      <c r="D217" s="6" t="s">
        <v>430</v>
      </c>
      <c r="E217" s="7"/>
      <c r="F217" s="7"/>
      <c r="G217" s="7"/>
      <c r="H217" s="7"/>
      <c r="I217" s="1"/>
      <c r="J217" s="1"/>
      <c r="K217" s="1"/>
      <c r="L217" s="1"/>
      <c r="M217" s="1"/>
      <c r="N217" s="1"/>
      <c r="O217" s="1"/>
      <c r="P217" s="1"/>
      <c r="Q217" s="1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2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2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2"/>
      <c r="CC217" s="13">
        <f t="shared" si="78"/>
        <v>0</v>
      </c>
      <c r="CD217" s="6"/>
      <c r="CE217" s="6"/>
      <c r="CF217" s="6"/>
      <c r="CG217" s="6"/>
      <c r="CH217" s="6"/>
      <c r="CI217" s="6"/>
      <c r="CJ217" s="13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</row>
    <row r="218" spans="1:160" x14ac:dyDescent="0.3">
      <c r="A218" s="6" t="s">
        <v>305</v>
      </c>
      <c r="B218" s="10" t="s">
        <v>305</v>
      </c>
      <c r="C218" s="10" t="s">
        <v>431</v>
      </c>
      <c r="D218" s="6" t="s">
        <v>431</v>
      </c>
      <c r="E218" s="7"/>
      <c r="F218" s="7"/>
      <c r="G218" s="7"/>
      <c r="H218" s="7"/>
      <c r="I218" s="1"/>
      <c r="J218" s="1"/>
      <c r="K218" s="1"/>
      <c r="L218" s="1"/>
      <c r="M218" s="1"/>
      <c r="N218" s="1"/>
      <c r="O218" s="1"/>
      <c r="P218" s="1"/>
      <c r="Q218" s="1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2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2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2"/>
      <c r="CC218" s="13">
        <f t="shared" si="78"/>
        <v>0</v>
      </c>
      <c r="CD218" s="6"/>
      <c r="CE218" s="6"/>
      <c r="CF218" s="6"/>
      <c r="CG218" s="6"/>
      <c r="CH218" s="6"/>
      <c r="CI218" s="6"/>
      <c r="CJ218" s="13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</row>
    <row r="219" spans="1:160" x14ac:dyDescent="0.3">
      <c r="A219" s="6" t="s">
        <v>305</v>
      </c>
      <c r="B219" s="10" t="s">
        <v>305</v>
      </c>
      <c r="C219" s="10" t="s">
        <v>432</v>
      </c>
      <c r="D219" s="6" t="s">
        <v>432</v>
      </c>
      <c r="E219" s="7">
        <v>13.607760000000001</v>
      </c>
      <c r="F219" s="7">
        <v>24.947559999999999</v>
      </c>
      <c r="G219" s="7"/>
      <c r="H219" s="7"/>
      <c r="I219" s="1"/>
      <c r="J219" s="1"/>
      <c r="K219" s="1"/>
      <c r="L219" s="1"/>
      <c r="M219" s="1"/>
      <c r="N219" s="1"/>
      <c r="O219" s="1"/>
      <c r="P219" s="1"/>
      <c r="Q219" s="12">
        <v>19.277660000000001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>
        <f>AVERAGE(E219:P219)</f>
        <v>19.277660000000001</v>
      </c>
      <c r="AF219" s="1"/>
      <c r="AG219" s="1">
        <f>AVERAGE(AE219:AF219)</f>
        <v>19.277660000000001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2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2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2"/>
      <c r="CC219" s="13">
        <f t="shared" si="78"/>
        <v>0</v>
      </c>
      <c r="CD219" s="6"/>
      <c r="CE219" s="6"/>
      <c r="CF219" s="6"/>
      <c r="CG219" s="6"/>
      <c r="CH219" s="6"/>
      <c r="CI219" s="6"/>
      <c r="CJ219" s="13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</row>
    <row r="220" spans="1:160" x14ac:dyDescent="0.3">
      <c r="A220" s="6" t="s">
        <v>305</v>
      </c>
      <c r="B220" s="10" t="s">
        <v>305</v>
      </c>
      <c r="C220" s="10" t="s">
        <v>433</v>
      </c>
      <c r="D220" s="6" t="s">
        <v>434</v>
      </c>
      <c r="E220" s="7"/>
      <c r="F220" s="7"/>
      <c r="G220" s="7"/>
      <c r="H220" s="7"/>
      <c r="I220" s="1"/>
      <c r="J220" s="1"/>
      <c r="K220" s="1"/>
      <c r="L220" s="1"/>
      <c r="M220" s="1"/>
      <c r="N220" s="1"/>
      <c r="O220" s="1"/>
      <c r="P220" s="1"/>
      <c r="Q220" s="1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2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2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2"/>
      <c r="CC220" s="13">
        <f t="shared" si="78"/>
        <v>0</v>
      </c>
      <c r="CD220" s="6"/>
      <c r="CE220" s="6"/>
      <c r="CF220" s="6"/>
      <c r="CG220" s="6"/>
      <c r="CH220" s="6"/>
      <c r="CI220" s="6"/>
      <c r="CJ220" s="13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</row>
    <row r="221" spans="1:160" x14ac:dyDescent="0.3">
      <c r="A221" s="6" t="s">
        <v>305</v>
      </c>
      <c r="B221" s="10" t="s">
        <v>305</v>
      </c>
      <c r="C221" s="10" t="s">
        <v>435</v>
      </c>
      <c r="D221" s="6" t="s">
        <v>435</v>
      </c>
      <c r="E221" s="7">
        <v>22.679600000000001</v>
      </c>
      <c r="F221" s="7">
        <v>43.091239999999999</v>
      </c>
      <c r="G221" s="7"/>
      <c r="H221" s="7"/>
      <c r="I221" s="1"/>
      <c r="J221" s="1"/>
      <c r="K221" s="1"/>
      <c r="L221" s="1"/>
      <c r="M221" s="1"/>
      <c r="N221" s="1"/>
      <c r="O221" s="1"/>
      <c r="P221" s="1"/>
      <c r="Q221" s="12">
        <v>32.885420000000003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>
        <f>AVERAGE(E221:P221)</f>
        <v>32.885419999999996</v>
      </c>
      <c r="AF221" s="1"/>
      <c r="AG221" s="1">
        <f>AVERAGE(AE221:AF221)</f>
        <v>32.885419999999996</v>
      </c>
      <c r="AH221" s="1">
        <v>10</v>
      </c>
      <c r="AI221" s="1">
        <v>14</v>
      </c>
      <c r="AJ221" s="1"/>
      <c r="AK221" s="1"/>
      <c r="AL221" s="1">
        <v>12</v>
      </c>
      <c r="AM221" s="1"/>
      <c r="AN221" s="1"/>
      <c r="AO221" s="1"/>
      <c r="AP221" s="1"/>
      <c r="AQ221" s="1">
        <f>AVERAGE(AH221:AK221)</f>
        <v>12</v>
      </c>
      <c r="AR221" s="1"/>
      <c r="AS221" s="12">
        <f>AVERAGE(AN221:AQ221)</f>
        <v>12</v>
      </c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2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2"/>
      <c r="CC221" s="13">
        <f t="shared" si="78"/>
        <v>0</v>
      </c>
      <c r="CD221" s="6"/>
      <c r="CE221" s="6"/>
      <c r="CF221" s="6"/>
      <c r="CG221" s="6"/>
      <c r="CH221" s="6"/>
      <c r="CI221" s="6"/>
      <c r="CJ221" s="13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</row>
    <row r="222" spans="1:160" x14ac:dyDescent="0.3">
      <c r="A222" s="6" t="s">
        <v>305</v>
      </c>
      <c r="B222" s="10" t="s">
        <v>305</v>
      </c>
      <c r="C222" s="10" t="s">
        <v>436</v>
      </c>
      <c r="D222" s="6" t="s">
        <v>436</v>
      </c>
      <c r="E222" s="7"/>
      <c r="F222" s="7"/>
      <c r="G222" s="7"/>
      <c r="H222" s="7"/>
      <c r="I222" s="1"/>
      <c r="J222" s="1"/>
      <c r="K222" s="1"/>
      <c r="L222" s="1"/>
      <c r="M222" s="1"/>
      <c r="N222" s="1"/>
      <c r="O222" s="1"/>
      <c r="P222" s="1"/>
      <c r="Q222" s="1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2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2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2"/>
      <c r="CC222" s="13">
        <f t="shared" si="78"/>
        <v>0</v>
      </c>
      <c r="CD222" s="6"/>
      <c r="CE222" s="6"/>
      <c r="CF222" s="6"/>
      <c r="CG222" s="6"/>
      <c r="CH222" s="6"/>
      <c r="CI222" s="6"/>
      <c r="CJ222" s="13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</row>
    <row r="223" spans="1:160" x14ac:dyDescent="0.3">
      <c r="A223" s="6" t="s">
        <v>305</v>
      </c>
      <c r="B223" s="10" t="s">
        <v>305</v>
      </c>
      <c r="C223" s="10" t="s">
        <v>437</v>
      </c>
      <c r="D223" s="6" t="s">
        <v>437</v>
      </c>
      <c r="E223" s="7">
        <v>44.905608000000001</v>
      </c>
      <c r="F223" s="7">
        <v>77.110640000000004</v>
      </c>
      <c r="G223" s="7"/>
      <c r="H223" s="7"/>
      <c r="I223" s="1"/>
      <c r="J223" s="1"/>
      <c r="K223" s="1"/>
      <c r="L223" s="1"/>
      <c r="M223" s="1"/>
      <c r="N223" s="1"/>
      <c r="O223" s="1"/>
      <c r="P223" s="1"/>
      <c r="Q223" s="12">
        <v>61.008124000000002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>
        <f>AVERAGE(E223:P223)</f>
        <v>61.008124000000002</v>
      </c>
      <c r="AF223" s="1"/>
      <c r="AG223" s="1">
        <f>AVERAGE(AE223:AF223)</f>
        <v>61.008124000000002</v>
      </c>
      <c r="AH223" s="1">
        <v>10</v>
      </c>
      <c r="AI223" s="1">
        <v>12</v>
      </c>
      <c r="AJ223" s="1"/>
      <c r="AK223" s="1"/>
      <c r="AL223" s="1">
        <v>11</v>
      </c>
      <c r="AM223" s="1"/>
      <c r="AN223" s="1"/>
      <c r="AO223" s="1"/>
      <c r="AP223" s="1"/>
      <c r="AQ223" s="1">
        <f>AVERAGE(AH223:AK223)</f>
        <v>11</v>
      </c>
      <c r="AR223" s="1"/>
      <c r="AS223" s="12">
        <f>AVERAGE(AN223:AQ223)</f>
        <v>11</v>
      </c>
      <c r="AT223" s="1"/>
      <c r="AU223" s="1"/>
      <c r="AV223" s="1"/>
      <c r="AW223" s="1"/>
      <c r="AX223" s="1"/>
      <c r="AY223" s="1"/>
      <c r="AZ223" s="1">
        <v>8.1</v>
      </c>
      <c r="BA223" s="1"/>
      <c r="BB223" s="1"/>
      <c r="BC223" s="1"/>
      <c r="BD223" s="1"/>
      <c r="BE223" s="1">
        <v>5</v>
      </c>
      <c r="BF223" s="1"/>
      <c r="BG223" s="1"/>
      <c r="BH223" s="1"/>
      <c r="BI223" s="1"/>
      <c r="BJ223" s="1"/>
      <c r="BK223" s="1"/>
      <c r="BL223" s="1"/>
      <c r="BM223" s="1">
        <f>AVERAGE(AV223:BI223)</f>
        <v>6.55</v>
      </c>
      <c r="BN223" s="12">
        <f>AVERAGE(AT223:BK223)</f>
        <v>6.55</v>
      </c>
      <c r="BO223" s="1"/>
      <c r="BP223" s="1"/>
      <c r="BQ223" s="1"/>
      <c r="BR223" s="1"/>
      <c r="BS223" s="1"/>
      <c r="BT223" s="1">
        <v>720</v>
      </c>
      <c r="BU223" s="1"/>
      <c r="BV223" s="1"/>
      <c r="BW223" s="1"/>
      <c r="BX223" s="1"/>
      <c r="BY223" s="1">
        <f>AVERAGE(BR223:BU223)</f>
        <v>720</v>
      </c>
      <c r="BZ223" s="1">
        <f>BY223/1000</f>
        <v>0.72</v>
      </c>
      <c r="CA223" s="1">
        <f>AVERAGE(BQ223:BU223)</f>
        <v>720</v>
      </c>
      <c r="CB223" s="12">
        <f>CA223/1000</f>
        <v>0.72</v>
      </c>
      <c r="CC223" s="13">
        <f t="shared" si="78"/>
        <v>4.7159999999999993</v>
      </c>
      <c r="CD223" s="6"/>
      <c r="CE223" s="6"/>
      <c r="CF223" s="6"/>
      <c r="CG223" s="6"/>
      <c r="CH223" s="6"/>
      <c r="CI223" s="6"/>
      <c r="CJ223" s="13">
        <f>((Q223-CB223)/CB223)*100</f>
        <v>8373.3505555555566</v>
      </c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</row>
    <row r="224" spans="1:160" x14ac:dyDescent="0.3">
      <c r="A224" s="6" t="s">
        <v>305</v>
      </c>
      <c r="B224" s="10" t="s">
        <v>305</v>
      </c>
      <c r="C224" s="10" t="s">
        <v>438</v>
      </c>
      <c r="D224" s="6" t="s">
        <v>438</v>
      </c>
      <c r="E224" s="7">
        <v>39.916096000000003</v>
      </c>
      <c r="F224" s="7">
        <v>49.895119999999999</v>
      </c>
      <c r="G224" s="7"/>
      <c r="H224" s="7"/>
      <c r="I224" s="1"/>
      <c r="J224" s="1"/>
      <c r="K224" s="1"/>
      <c r="L224" s="1"/>
      <c r="M224" s="1"/>
      <c r="N224" s="1"/>
      <c r="O224" s="1"/>
      <c r="P224" s="1"/>
      <c r="Q224" s="12">
        <v>44.905608000000001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>
        <f>AVERAGE(E224:P224)</f>
        <v>44.905608000000001</v>
      </c>
      <c r="AF224" s="1"/>
      <c r="AG224" s="1">
        <f>AVERAGE(AE224:AF224)</f>
        <v>44.905608000000001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2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2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2"/>
      <c r="CC224" s="13">
        <f t="shared" si="78"/>
        <v>0</v>
      </c>
      <c r="CD224" s="6"/>
      <c r="CE224" s="6"/>
      <c r="CF224" s="6"/>
      <c r="CG224" s="6"/>
      <c r="CH224" s="6"/>
      <c r="CI224" s="6"/>
      <c r="CJ224" s="13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</row>
    <row r="225" spans="1:160" x14ac:dyDescent="0.3">
      <c r="A225" s="6" t="s">
        <v>305</v>
      </c>
      <c r="B225" s="10" t="s">
        <v>305</v>
      </c>
      <c r="C225" s="10" t="s">
        <v>439</v>
      </c>
      <c r="D225" s="6" t="s">
        <v>439</v>
      </c>
      <c r="E225" s="7">
        <v>6.3502879999999999</v>
      </c>
      <c r="F225" s="7">
        <v>10.886208</v>
      </c>
      <c r="G225" s="7"/>
      <c r="H225" s="7"/>
      <c r="I225" s="1"/>
      <c r="J225" s="1"/>
      <c r="K225" s="1"/>
      <c r="L225" s="1"/>
      <c r="M225" s="1"/>
      <c r="N225" s="1"/>
      <c r="O225" s="1"/>
      <c r="P225" s="1"/>
      <c r="Q225" s="12">
        <v>8.6182479999999995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>
        <f>AVERAGE(E225:P225)</f>
        <v>8.6182479999999995</v>
      </c>
      <c r="AF225" s="1"/>
      <c r="AG225" s="1">
        <f>AVERAGE(AE225:AF225)</f>
        <v>8.6182479999999995</v>
      </c>
      <c r="AH225" s="1">
        <v>12</v>
      </c>
      <c r="AI225" s="1">
        <v>15</v>
      </c>
      <c r="AJ225" s="1"/>
      <c r="AK225" s="1"/>
      <c r="AL225" s="1">
        <v>13.5</v>
      </c>
      <c r="AM225" s="1"/>
      <c r="AN225" s="1"/>
      <c r="AO225" s="1"/>
      <c r="AP225" s="1"/>
      <c r="AQ225" s="1">
        <f>AVERAGE(AH225:AK225)</f>
        <v>13.5</v>
      </c>
      <c r="AR225" s="1"/>
      <c r="AS225" s="12">
        <f>AVERAGE(AN225:AQ225)</f>
        <v>13.5</v>
      </c>
      <c r="AT225" s="1"/>
      <c r="AU225" s="1"/>
      <c r="AV225" s="1"/>
      <c r="AW225" s="1"/>
      <c r="AX225" s="1"/>
      <c r="AY225" s="1"/>
      <c r="AZ225" s="1">
        <v>5</v>
      </c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>
        <f>AVERAGE(AV225:BI225)</f>
        <v>5</v>
      </c>
      <c r="BN225" s="12">
        <f>AVERAGE(AT225:BK225)</f>
        <v>5</v>
      </c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2"/>
      <c r="CC225" s="13">
        <f t="shared" si="78"/>
        <v>0</v>
      </c>
      <c r="CD225" s="6"/>
      <c r="CE225" s="6"/>
      <c r="CF225" s="6"/>
      <c r="CG225" s="6"/>
      <c r="CH225" s="6"/>
      <c r="CI225" s="6"/>
      <c r="CJ225" s="13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</row>
    <row r="226" spans="1:160" x14ac:dyDescent="0.3">
      <c r="A226" s="6" t="s">
        <v>305</v>
      </c>
      <c r="B226" s="10" t="s">
        <v>305</v>
      </c>
      <c r="C226" s="10" t="s">
        <v>440</v>
      </c>
      <c r="D226" s="6" t="s">
        <v>440</v>
      </c>
      <c r="E226" s="7"/>
      <c r="F226" s="7"/>
      <c r="G226" s="7"/>
      <c r="H226" s="7"/>
      <c r="I226" s="1">
        <v>29.48348</v>
      </c>
      <c r="J226" s="1">
        <v>36.28736</v>
      </c>
      <c r="K226" s="1">
        <v>29.5</v>
      </c>
      <c r="L226" s="1">
        <v>36.5</v>
      </c>
      <c r="M226" s="1">
        <v>24.947559999999999</v>
      </c>
      <c r="N226" s="1">
        <v>31.751439999999999</v>
      </c>
      <c r="O226" s="1">
        <v>25</v>
      </c>
      <c r="P226" s="1">
        <v>32</v>
      </c>
      <c r="Q226" s="12">
        <v>30.617460000000001</v>
      </c>
      <c r="R226" s="1">
        <v>32.885420000000003</v>
      </c>
      <c r="S226" s="1">
        <v>28.349499999999999</v>
      </c>
      <c r="T226" s="1">
        <v>30.75</v>
      </c>
      <c r="U226" s="1">
        <v>33</v>
      </c>
      <c r="V226" s="1">
        <v>28.5</v>
      </c>
      <c r="W226" s="1"/>
      <c r="X226" s="1"/>
      <c r="Y226" s="1"/>
      <c r="Z226" s="1"/>
      <c r="AA226" s="1">
        <v>33</v>
      </c>
      <c r="AB226" s="1"/>
      <c r="AC226" s="1"/>
      <c r="AD226" s="1">
        <v>27.22</v>
      </c>
      <c r="AE226" s="1">
        <f>AVERAGE(E226:P226)</f>
        <v>30.683730000000001</v>
      </c>
      <c r="AF226" s="1">
        <f>AVERAGE(X226:AD226)</f>
        <v>30.11</v>
      </c>
      <c r="AG226" s="1">
        <f>AVERAGE(AE226:AF226)</f>
        <v>30.396864999999998</v>
      </c>
      <c r="AH226" s="1">
        <v>10</v>
      </c>
      <c r="AI226" s="1">
        <v>13</v>
      </c>
      <c r="AJ226" s="1">
        <v>10</v>
      </c>
      <c r="AK226" s="1">
        <v>12</v>
      </c>
      <c r="AL226" s="1">
        <v>11.5</v>
      </c>
      <c r="AM226" s="1">
        <v>11</v>
      </c>
      <c r="AN226" s="1"/>
      <c r="AO226" s="1"/>
      <c r="AP226" s="1"/>
      <c r="AQ226" s="1">
        <f>AVERAGE(AH226:AK226)</f>
        <v>11.25</v>
      </c>
      <c r="AR226" s="1"/>
      <c r="AS226" s="12">
        <f>AVERAGE(AN226:AQ226)</f>
        <v>11.25</v>
      </c>
      <c r="AT226" s="1"/>
      <c r="AU226" s="1"/>
      <c r="AV226" s="1"/>
      <c r="AW226" s="1"/>
      <c r="AX226" s="1"/>
      <c r="AY226" s="1"/>
      <c r="AZ226" s="1">
        <v>6.5</v>
      </c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>
        <f>AVERAGE(AV226:BI226)</f>
        <v>6.5</v>
      </c>
      <c r="BN226" s="12">
        <f>AVERAGE(AT226:BK226)</f>
        <v>6.5</v>
      </c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2"/>
      <c r="CC226" s="13">
        <f t="shared" ref="CC226:CC289" si="79">CB226*BN226</f>
        <v>0</v>
      </c>
      <c r="CD226" s="6"/>
      <c r="CE226" s="6"/>
      <c r="CF226" s="6"/>
      <c r="CG226" s="6"/>
      <c r="CH226" s="6"/>
      <c r="CI226" s="6"/>
      <c r="CJ226" s="13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</row>
    <row r="227" spans="1:160" x14ac:dyDescent="0.3">
      <c r="A227" s="6" t="s">
        <v>305</v>
      </c>
      <c r="B227" s="10" t="s">
        <v>305</v>
      </c>
      <c r="C227" s="10" t="s">
        <v>441</v>
      </c>
      <c r="D227" s="6" t="s">
        <v>441</v>
      </c>
      <c r="E227" s="7"/>
      <c r="F227" s="7"/>
      <c r="G227" s="7"/>
      <c r="H227" s="7"/>
      <c r="I227" s="1">
        <v>31.751439999999999</v>
      </c>
      <c r="J227" s="1">
        <v>38.555320000000002</v>
      </c>
      <c r="K227" s="1">
        <v>32</v>
      </c>
      <c r="L227" s="1">
        <v>38.5</v>
      </c>
      <c r="M227" s="1">
        <v>24.947559999999999</v>
      </c>
      <c r="N227" s="1">
        <v>31.751439999999999</v>
      </c>
      <c r="O227" s="1">
        <v>25</v>
      </c>
      <c r="P227" s="1">
        <v>32</v>
      </c>
      <c r="Q227" s="12">
        <v>31.751439999999999</v>
      </c>
      <c r="R227" s="1">
        <v>35.153379999999999</v>
      </c>
      <c r="S227" s="1">
        <v>28.349499999999999</v>
      </c>
      <c r="T227" s="1">
        <v>31.875</v>
      </c>
      <c r="U227" s="1">
        <v>35.25</v>
      </c>
      <c r="V227" s="1">
        <v>28.5</v>
      </c>
      <c r="W227" s="1"/>
      <c r="X227" s="1"/>
      <c r="Y227" s="1"/>
      <c r="Z227" s="1"/>
      <c r="AA227" s="1"/>
      <c r="AB227" s="1"/>
      <c r="AC227" s="1"/>
      <c r="AD227" s="1"/>
      <c r="AE227" s="1">
        <f>AVERAGE(E227:P227)</f>
        <v>31.813220000000001</v>
      </c>
      <c r="AF227" s="1"/>
      <c r="AG227" s="1">
        <f>AVERAGE(AE227:AF227)</f>
        <v>31.813220000000001</v>
      </c>
      <c r="AH227" s="1">
        <v>10</v>
      </c>
      <c r="AI227" s="1">
        <v>12</v>
      </c>
      <c r="AJ227" s="1">
        <v>10</v>
      </c>
      <c r="AK227" s="1">
        <v>12</v>
      </c>
      <c r="AL227" s="1">
        <v>11</v>
      </c>
      <c r="AM227" s="1">
        <v>11</v>
      </c>
      <c r="AN227" s="1"/>
      <c r="AO227" s="1"/>
      <c r="AP227" s="1"/>
      <c r="AQ227" s="1">
        <f>AVERAGE(AH227:AK227)</f>
        <v>11</v>
      </c>
      <c r="AR227" s="1"/>
      <c r="AS227" s="12">
        <f>AVERAGE(AN227:AQ227)</f>
        <v>11</v>
      </c>
      <c r="AT227" s="1"/>
      <c r="AU227" s="1"/>
      <c r="AV227" s="1"/>
      <c r="AW227" s="1"/>
      <c r="AX227" s="1"/>
      <c r="AY227" s="1"/>
      <c r="AZ227" s="1">
        <v>9</v>
      </c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>
        <f>AVERAGE(AV227:BI227)</f>
        <v>9</v>
      </c>
      <c r="BN227" s="12">
        <f>AVERAGE(AT227:BK227)</f>
        <v>9</v>
      </c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2"/>
      <c r="CC227" s="13">
        <f t="shared" si="79"/>
        <v>0</v>
      </c>
      <c r="CD227" s="6"/>
      <c r="CE227" s="6"/>
      <c r="CF227" s="6"/>
      <c r="CG227" s="6"/>
      <c r="CH227" s="6"/>
      <c r="CI227" s="6"/>
      <c r="CJ227" s="13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</row>
    <row r="228" spans="1:160" x14ac:dyDescent="0.3">
      <c r="A228" s="6" t="s">
        <v>305</v>
      </c>
      <c r="B228" s="10" t="s">
        <v>305</v>
      </c>
      <c r="C228" s="10" t="s">
        <v>442</v>
      </c>
      <c r="D228" s="6" t="s">
        <v>442</v>
      </c>
      <c r="E228" s="7"/>
      <c r="F228" s="7"/>
      <c r="G228" s="7"/>
      <c r="H228" s="7"/>
      <c r="I228" s="1"/>
      <c r="J228" s="1"/>
      <c r="K228" s="1"/>
      <c r="L228" s="1"/>
      <c r="M228" s="1"/>
      <c r="N228" s="1"/>
      <c r="O228" s="1"/>
      <c r="P228" s="1"/>
      <c r="Q228" s="1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2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2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2"/>
      <c r="CC228" s="13">
        <f t="shared" si="79"/>
        <v>0</v>
      </c>
      <c r="CD228" s="6"/>
      <c r="CE228" s="6"/>
      <c r="CF228" s="6"/>
      <c r="CG228" s="6"/>
      <c r="CH228" s="6"/>
      <c r="CI228" s="6"/>
      <c r="CJ228" s="13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</row>
    <row r="229" spans="1:160" x14ac:dyDescent="0.3">
      <c r="A229" s="6" t="s">
        <v>305</v>
      </c>
      <c r="B229" s="10" t="s">
        <v>305</v>
      </c>
      <c r="C229" s="10" t="s">
        <v>443</v>
      </c>
      <c r="D229" s="6" t="s">
        <v>443</v>
      </c>
      <c r="E229" s="7"/>
      <c r="F229" s="7"/>
      <c r="G229" s="7"/>
      <c r="H229" s="7"/>
      <c r="I229" s="1">
        <v>11.3398</v>
      </c>
      <c r="J229" s="1">
        <v>13.607760000000001</v>
      </c>
      <c r="K229" s="1">
        <v>12</v>
      </c>
      <c r="L229" s="1">
        <v>13</v>
      </c>
      <c r="M229" s="1">
        <v>9.0718399999999999</v>
      </c>
      <c r="N229" s="1">
        <v>11.3398</v>
      </c>
      <c r="O229" s="1">
        <v>11</v>
      </c>
      <c r="P229" s="1">
        <v>12</v>
      </c>
      <c r="Q229" s="12">
        <v>11.3398</v>
      </c>
      <c r="R229" s="1">
        <v>12.47378</v>
      </c>
      <c r="S229" s="1">
        <v>10.205819999999999</v>
      </c>
      <c r="T229" s="1">
        <v>12</v>
      </c>
      <c r="U229" s="1">
        <v>12.5</v>
      </c>
      <c r="V229" s="1">
        <v>11.5</v>
      </c>
      <c r="W229" s="1">
        <f>AVERAGE(X229:Y229)</f>
        <v>10.5</v>
      </c>
      <c r="X229" s="1">
        <v>10.5</v>
      </c>
      <c r="Y229" s="1"/>
      <c r="Z229" s="1"/>
      <c r="AA229" s="1"/>
      <c r="AB229" s="1"/>
      <c r="AC229" s="1">
        <v>10.199999999999999</v>
      </c>
      <c r="AD229" s="1">
        <v>12.7</v>
      </c>
      <c r="AE229" s="1">
        <f>AVERAGE(E229:P229)</f>
        <v>11.6699</v>
      </c>
      <c r="AF229" s="1">
        <f>AVERAGE(X229:AD229)</f>
        <v>11.133333333333333</v>
      </c>
      <c r="AG229" s="1">
        <f>AVERAGE(AE229:AF229)</f>
        <v>11.401616666666666</v>
      </c>
      <c r="AH229" s="1">
        <v>10</v>
      </c>
      <c r="AI229" s="1">
        <v>14</v>
      </c>
      <c r="AJ229" s="1">
        <v>13</v>
      </c>
      <c r="AK229" s="1">
        <v>16</v>
      </c>
      <c r="AL229" s="1">
        <v>12</v>
      </c>
      <c r="AM229" s="1">
        <v>14.5</v>
      </c>
      <c r="AN229" s="1"/>
      <c r="AO229" s="1">
        <v>11.5</v>
      </c>
      <c r="AP229" s="1">
        <v>11.8</v>
      </c>
      <c r="AQ229" s="1">
        <f>AVERAGE(AH229:AK229)</f>
        <v>13.25</v>
      </c>
      <c r="AR229" s="1">
        <f>AVERAGE(AN229:AP229)</f>
        <v>11.65</v>
      </c>
      <c r="AS229" s="12">
        <f>AVERAGE(AN229:AQ229)</f>
        <v>12.183333333333332</v>
      </c>
      <c r="AT229" s="1"/>
      <c r="AU229" s="1"/>
      <c r="AV229" s="1"/>
      <c r="AW229" s="1"/>
      <c r="AX229" s="1"/>
      <c r="AY229" s="1"/>
      <c r="AZ229" s="1">
        <v>5.7</v>
      </c>
      <c r="BA229" s="1"/>
      <c r="BB229" s="1"/>
      <c r="BC229" s="1"/>
      <c r="BD229" s="1"/>
      <c r="BE229" s="1"/>
      <c r="BF229" s="1">
        <v>5.29</v>
      </c>
      <c r="BG229" s="1"/>
      <c r="BH229" s="1"/>
      <c r="BI229" s="1"/>
      <c r="BJ229" s="1"/>
      <c r="BK229" s="1"/>
      <c r="BL229" s="1"/>
      <c r="BM229" s="1">
        <f>AVERAGE(AV229:BI229)</f>
        <v>5.4950000000000001</v>
      </c>
      <c r="BN229" s="12">
        <f>AVERAGE(AT229:BK229)</f>
        <v>5.4950000000000001</v>
      </c>
      <c r="BO229" s="1"/>
      <c r="BP229" s="1"/>
      <c r="BQ229" s="1"/>
      <c r="BR229" s="1">
        <v>250</v>
      </c>
      <c r="BS229" s="1"/>
      <c r="BT229" s="1"/>
      <c r="BU229" s="1"/>
      <c r="BV229" s="1">
        <v>250</v>
      </c>
      <c r="BW229" s="1"/>
      <c r="BX229" s="1"/>
      <c r="BY229" s="1">
        <f>AVERAGE(BR229:BU229)</f>
        <v>250</v>
      </c>
      <c r="BZ229" s="1">
        <f>BY229/1000</f>
        <v>0.25</v>
      </c>
      <c r="CA229" s="1">
        <f>AVERAGE(BQ229:BU229)</f>
        <v>250</v>
      </c>
      <c r="CB229" s="12">
        <f>CA229/1000</f>
        <v>0.25</v>
      </c>
      <c r="CC229" s="13">
        <f t="shared" si="79"/>
        <v>1.37375</v>
      </c>
      <c r="CD229" s="6">
        <v>15.3</v>
      </c>
      <c r="CE229" s="6"/>
      <c r="CF229" s="6">
        <f>AVERAGE(CD229:CE229)</f>
        <v>15.3</v>
      </c>
      <c r="CG229" s="6">
        <v>46.6</v>
      </c>
      <c r="CH229" s="6"/>
      <c r="CI229" s="6">
        <v>46.6</v>
      </c>
      <c r="CJ229" s="13">
        <f>((Q229-CB229)/CB229)*100</f>
        <v>4435.92</v>
      </c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</row>
    <row r="230" spans="1:160" x14ac:dyDescent="0.3">
      <c r="A230" s="6" t="s">
        <v>305</v>
      </c>
      <c r="B230" s="10" t="s">
        <v>305</v>
      </c>
      <c r="C230" s="10" t="s">
        <v>444</v>
      </c>
      <c r="D230" s="6" t="s">
        <v>444</v>
      </c>
      <c r="E230" s="7"/>
      <c r="F230" s="7"/>
      <c r="G230" s="7"/>
      <c r="H230" s="7"/>
      <c r="I230" s="1"/>
      <c r="J230" s="1"/>
      <c r="K230" s="1"/>
      <c r="L230" s="1"/>
      <c r="M230" s="1"/>
      <c r="N230" s="1"/>
      <c r="O230" s="1"/>
      <c r="P230" s="1"/>
      <c r="Q230" s="1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>
        <v>30.84</v>
      </c>
      <c r="AC230" s="1"/>
      <c r="AD230" s="1"/>
      <c r="AE230" s="1"/>
      <c r="AF230" s="1">
        <f>AVERAGE(X230:AD230)</f>
        <v>30.84</v>
      </c>
      <c r="AG230" s="1">
        <f>AVERAGE(AE230:AF230)</f>
        <v>30.84</v>
      </c>
      <c r="AH230" s="1"/>
      <c r="AI230" s="1"/>
      <c r="AJ230" s="1"/>
      <c r="AK230" s="1"/>
      <c r="AL230" s="1"/>
      <c r="AM230" s="1"/>
      <c r="AN230" s="1"/>
      <c r="AO230" s="1">
        <v>12</v>
      </c>
      <c r="AP230" s="1">
        <v>12.2</v>
      </c>
      <c r="AQ230" s="1"/>
      <c r="AR230" s="1">
        <f>AVERAGE(AN230:AP230)</f>
        <v>12.1</v>
      </c>
      <c r="AS230" s="12">
        <f>AVERAGE(AN230:AQ230)</f>
        <v>12.1</v>
      </c>
      <c r="AT230" s="1"/>
      <c r="AU230" s="1"/>
      <c r="AV230" s="1"/>
      <c r="AW230" s="1"/>
      <c r="AX230" s="1"/>
      <c r="AY230" s="1"/>
      <c r="AZ230" s="1">
        <v>5.2</v>
      </c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>
        <f>AVERAGE(AV230:BI230)</f>
        <v>5.2</v>
      </c>
      <c r="BN230" s="12">
        <f>AVERAGE(AT230:BK230)</f>
        <v>5.2</v>
      </c>
      <c r="BO230" s="1"/>
      <c r="BP230" s="1"/>
      <c r="BQ230" s="1"/>
      <c r="BR230" s="1"/>
      <c r="BS230" s="1"/>
      <c r="BT230" s="1">
        <v>155</v>
      </c>
      <c r="BU230" s="1"/>
      <c r="BV230" s="1"/>
      <c r="BW230" s="1"/>
      <c r="BX230" s="1"/>
      <c r="BY230" s="1">
        <f>AVERAGE(BR230:BU230)</f>
        <v>155</v>
      </c>
      <c r="BZ230" s="1">
        <f>BY230/1000</f>
        <v>0.155</v>
      </c>
      <c r="CA230" s="1">
        <f>AVERAGE(BQ230:BU230)</f>
        <v>155</v>
      </c>
      <c r="CB230" s="12">
        <f>CA230/1000</f>
        <v>0.155</v>
      </c>
      <c r="CC230" s="13">
        <f t="shared" si="79"/>
        <v>0.80600000000000005</v>
      </c>
      <c r="CD230" s="6"/>
      <c r="CE230" s="6"/>
      <c r="CF230" s="6"/>
      <c r="CG230" s="6"/>
      <c r="CH230" s="6"/>
      <c r="CI230" s="6"/>
      <c r="CJ230" s="13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</row>
    <row r="231" spans="1:160" x14ac:dyDescent="0.3">
      <c r="A231" s="6" t="s">
        <v>305</v>
      </c>
      <c r="B231" s="10" t="s">
        <v>305</v>
      </c>
      <c r="C231" s="10" t="s">
        <v>445</v>
      </c>
      <c r="D231" s="6" t="s">
        <v>445</v>
      </c>
      <c r="E231" s="7"/>
      <c r="F231" s="7"/>
      <c r="G231" s="7"/>
      <c r="H231" s="7"/>
      <c r="I231" s="1"/>
      <c r="J231" s="1"/>
      <c r="K231" s="1"/>
      <c r="L231" s="1"/>
      <c r="M231" s="1"/>
      <c r="N231" s="1"/>
      <c r="O231" s="1"/>
      <c r="P231" s="1"/>
      <c r="Q231" s="1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2"/>
      <c r="AT231" s="1"/>
      <c r="AU231" s="1"/>
      <c r="AV231" s="1"/>
      <c r="AW231" s="1"/>
      <c r="AX231" s="1"/>
      <c r="AY231" s="1"/>
      <c r="AZ231" s="1">
        <v>6.6</v>
      </c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>
        <f>AVERAGE(AV231:BI231)</f>
        <v>6.6</v>
      </c>
      <c r="BN231" s="12">
        <f>AVERAGE(AT231:BK231)</f>
        <v>6.6</v>
      </c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2"/>
      <c r="CC231" s="13">
        <f t="shared" si="79"/>
        <v>0</v>
      </c>
      <c r="CD231" s="6"/>
      <c r="CE231" s="6"/>
      <c r="CF231" s="6"/>
      <c r="CG231" s="6"/>
      <c r="CH231" s="6"/>
      <c r="CI231" s="6"/>
      <c r="CJ231" s="13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</row>
    <row r="232" spans="1:160" x14ac:dyDescent="0.3">
      <c r="A232" s="6" t="s">
        <v>305</v>
      </c>
      <c r="B232" s="10" t="s">
        <v>305</v>
      </c>
      <c r="C232" s="10" t="s">
        <v>446</v>
      </c>
      <c r="D232" s="6" t="s">
        <v>446</v>
      </c>
      <c r="E232" s="7">
        <v>13.154168</v>
      </c>
      <c r="F232" s="7">
        <v>19.958048000000002</v>
      </c>
      <c r="G232" s="7"/>
      <c r="H232" s="7"/>
      <c r="I232" s="1"/>
      <c r="J232" s="1"/>
      <c r="K232" s="1"/>
      <c r="L232" s="1"/>
      <c r="M232" s="1"/>
      <c r="N232" s="1"/>
      <c r="O232" s="1"/>
      <c r="P232" s="1"/>
      <c r="Q232" s="12">
        <v>16.556107999999998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>
        <f>AVERAGE(E232:P232)</f>
        <v>16.556108000000002</v>
      </c>
      <c r="AF232" s="1"/>
      <c r="AG232" s="1">
        <f>AVERAGE(AE232:AF232)</f>
        <v>16.556108000000002</v>
      </c>
      <c r="AH232" s="1">
        <v>13</v>
      </c>
      <c r="AI232" s="1">
        <v>14</v>
      </c>
      <c r="AJ232" s="1"/>
      <c r="AK232" s="1"/>
      <c r="AL232" s="1">
        <v>13.5</v>
      </c>
      <c r="AM232" s="1"/>
      <c r="AN232" s="1"/>
      <c r="AO232" s="1"/>
      <c r="AP232" s="1"/>
      <c r="AQ232" s="1">
        <f>AVERAGE(AH232:AK232)</f>
        <v>13.5</v>
      </c>
      <c r="AR232" s="1"/>
      <c r="AS232" s="12">
        <f>AVERAGE(AN232:AQ232)</f>
        <v>13.5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2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2"/>
      <c r="CC232" s="13">
        <f t="shared" si="79"/>
        <v>0</v>
      </c>
      <c r="CD232" s="6"/>
      <c r="CE232" s="6"/>
      <c r="CF232" s="6"/>
      <c r="CG232" s="6"/>
      <c r="CH232" s="6"/>
      <c r="CI232" s="6"/>
      <c r="CJ232" s="13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</row>
    <row r="233" spans="1:160" x14ac:dyDescent="0.3">
      <c r="A233" s="6" t="s">
        <v>305</v>
      </c>
      <c r="B233" s="10" t="s">
        <v>305</v>
      </c>
      <c r="C233" s="10" t="s">
        <v>447</v>
      </c>
      <c r="D233" s="6" t="s">
        <v>447</v>
      </c>
      <c r="E233" s="7"/>
      <c r="F233" s="7"/>
      <c r="G233" s="7"/>
      <c r="H233" s="7"/>
      <c r="I233" s="1"/>
      <c r="J233" s="1"/>
      <c r="K233" s="1"/>
      <c r="L233" s="1"/>
      <c r="M233" s="1"/>
      <c r="N233" s="1"/>
      <c r="O233" s="1"/>
      <c r="P233" s="1"/>
      <c r="Q233" s="12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2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2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2"/>
      <c r="CC233" s="13">
        <f t="shared" si="79"/>
        <v>0</v>
      </c>
      <c r="CD233" s="6"/>
      <c r="CE233" s="6"/>
      <c r="CF233" s="6"/>
      <c r="CG233" s="6"/>
      <c r="CH233" s="6"/>
      <c r="CI233" s="6"/>
      <c r="CJ233" s="13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</row>
    <row r="234" spans="1:160" x14ac:dyDescent="0.3">
      <c r="A234" s="6" t="s">
        <v>305</v>
      </c>
      <c r="B234" s="10" t="s">
        <v>305</v>
      </c>
      <c r="C234" s="10" t="s">
        <v>448</v>
      </c>
      <c r="D234" s="6" t="s">
        <v>449</v>
      </c>
      <c r="E234" s="7">
        <v>19.958048000000002</v>
      </c>
      <c r="F234" s="7">
        <v>25.854744</v>
      </c>
      <c r="G234" s="7"/>
      <c r="H234" s="7"/>
      <c r="I234" s="1"/>
      <c r="J234" s="1"/>
      <c r="K234" s="1"/>
      <c r="L234" s="1"/>
      <c r="M234" s="1"/>
      <c r="N234" s="1"/>
      <c r="O234" s="1"/>
      <c r="P234" s="1"/>
      <c r="Q234" s="12">
        <v>22.906396000000001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>
        <f>AVERAGE(E234:P234)</f>
        <v>22.906396000000001</v>
      </c>
      <c r="AF234" s="1"/>
      <c r="AG234" s="1">
        <f>AVERAGE(AE234:AF234)</f>
        <v>22.906396000000001</v>
      </c>
      <c r="AH234" s="1">
        <v>10</v>
      </c>
      <c r="AI234" s="1">
        <v>15</v>
      </c>
      <c r="AJ234" s="1"/>
      <c r="AK234" s="1"/>
      <c r="AL234" s="1">
        <v>12.5</v>
      </c>
      <c r="AM234" s="1"/>
      <c r="AN234" s="1"/>
      <c r="AO234" s="1"/>
      <c r="AP234" s="1"/>
      <c r="AQ234" s="1">
        <f>AVERAGE(AH234:AK234)</f>
        <v>12.5</v>
      </c>
      <c r="AR234" s="1"/>
      <c r="AS234" s="12">
        <f>AVERAGE(AN234:AQ234)</f>
        <v>12.5</v>
      </c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>
        <v>7</v>
      </c>
      <c r="BF234" s="1"/>
      <c r="BG234" s="1"/>
      <c r="BH234" s="1"/>
      <c r="BI234" s="1"/>
      <c r="BJ234" s="1"/>
      <c r="BK234" s="1"/>
      <c r="BL234" s="1"/>
      <c r="BM234" s="1">
        <f>AVERAGE(AV234:BI234)</f>
        <v>7</v>
      </c>
      <c r="BN234" s="12">
        <f>AVERAGE(AT234:BK234)</f>
        <v>7</v>
      </c>
      <c r="BO234" s="1"/>
      <c r="BP234" s="1"/>
      <c r="BQ234" s="1"/>
      <c r="BR234" s="1"/>
      <c r="BS234" s="1"/>
      <c r="BT234" s="1">
        <v>390</v>
      </c>
      <c r="BU234" s="1"/>
      <c r="BV234" s="1"/>
      <c r="BW234" s="1"/>
      <c r="BX234" s="1"/>
      <c r="BY234" s="1">
        <f>AVERAGE(BR234:BU234)</f>
        <v>390</v>
      </c>
      <c r="BZ234" s="1">
        <f>BY234/1000</f>
        <v>0.39</v>
      </c>
      <c r="CA234" s="1">
        <f>AVERAGE(BQ234:BU234)</f>
        <v>390</v>
      </c>
      <c r="CB234" s="12">
        <f>CA234/1000</f>
        <v>0.39</v>
      </c>
      <c r="CC234" s="13">
        <f t="shared" si="79"/>
        <v>2.73</v>
      </c>
      <c r="CD234" s="6"/>
      <c r="CE234" s="6"/>
      <c r="CF234" s="6"/>
      <c r="CG234" s="6"/>
      <c r="CH234" s="6"/>
      <c r="CI234" s="6"/>
      <c r="CJ234" s="13">
        <f>((Q234-CB234)/CB234)*100</f>
        <v>5773.4348717948724</v>
      </c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</row>
    <row r="235" spans="1:160" x14ac:dyDescent="0.3">
      <c r="A235" s="6" t="s">
        <v>305</v>
      </c>
      <c r="B235" s="10" t="s">
        <v>305</v>
      </c>
      <c r="C235" s="10" t="s">
        <v>450</v>
      </c>
      <c r="D235" s="6" t="s">
        <v>450</v>
      </c>
      <c r="E235" s="7">
        <v>4.9895120000000004</v>
      </c>
      <c r="F235" s="7">
        <v>4.9895120000000004</v>
      </c>
      <c r="G235" s="7"/>
      <c r="H235" s="7"/>
      <c r="I235" s="1"/>
      <c r="J235" s="1"/>
      <c r="K235" s="1"/>
      <c r="L235" s="1"/>
      <c r="M235" s="1"/>
      <c r="N235" s="1"/>
      <c r="O235" s="1"/>
      <c r="P235" s="1"/>
      <c r="Q235" s="12">
        <v>4.9895120000000004</v>
      </c>
      <c r="R235" s="1"/>
      <c r="S235" s="1"/>
      <c r="T235" s="1"/>
      <c r="U235" s="1"/>
      <c r="V235" s="1"/>
      <c r="W235" s="1"/>
      <c r="X235" s="1"/>
      <c r="Y235" s="1"/>
      <c r="Z235" s="1"/>
      <c r="AA235" s="1">
        <v>7</v>
      </c>
      <c r="AB235" s="1">
        <v>6.0780000000000003</v>
      </c>
      <c r="AC235" s="1"/>
      <c r="AD235" s="1"/>
      <c r="AE235" s="1">
        <f>AVERAGE(E235:P235)</f>
        <v>4.9895120000000004</v>
      </c>
      <c r="AF235" s="1">
        <f>AVERAGE(X235:AD235)</f>
        <v>6.5389999999999997</v>
      </c>
      <c r="AG235" s="1">
        <f>AVERAGE(AE235:AF235)</f>
        <v>5.7642559999999996</v>
      </c>
      <c r="AH235" s="1">
        <v>12</v>
      </c>
      <c r="AI235" s="1">
        <v>16</v>
      </c>
      <c r="AJ235" s="1"/>
      <c r="AK235" s="1"/>
      <c r="AL235" s="1">
        <v>14</v>
      </c>
      <c r="AM235" s="1"/>
      <c r="AN235" s="1"/>
      <c r="AO235" s="1">
        <v>13.5</v>
      </c>
      <c r="AP235" s="1">
        <v>14.4</v>
      </c>
      <c r="AQ235" s="1">
        <f>AVERAGE(AH235:AK235)</f>
        <v>14</v>
      </c>
      <c r="AR235" s="1">
        <f>AVERAGE(AN235:AP235)</f>
        <v>13.95</v>
      </c>
      <c r="AS235" s="12">
        <f>AVERAGE(AN235:AQ235)</f>
        <v>13.966666666666667</v>
      </c>
      <c r="AT235" s="1"/>
      <c r="AU235" s="1"/>
      <c r="AV235" s="1"/>
      <c r="AW235" s="1"/>
      <c r="AX235" s="1"/>
      <c r="AY235" s="1">
        <v>5.5</v>
      </c>
      <c r="AZ235" s="1">
        <v>4.4000000000000004</v>
      </c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>
        <f>AVERAGE(AV235:BI235)</f>
        <v>4.95</v>
      </c>
      <c r="BN235" s="12">
        <f>AVERAGE(AT235:BK235)</f>
        <v>4.95</v>
      </c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2"/>
      <c r="CC235" s="13">
        <f t="shared" si="79"/>
        <v>0</v>
      </c>
      <c r="CD235" s="6"/>
      <c r="CE235" s="6"/>
      <c r="CF235" s="6"/>
      <c r="CG235" s="6"/>
      <c r="CH235" s="6"/>
      <c r="CI235" s="6"/>
      <c r="CJ235" s="13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</row>
    <row r="236" spans="1:160" x14ac:dyDescent="0.3">
      <c r="A236" s="6" t="s">
        <v>305</v>
      </c>
      <c r="B236" s="10" t="s">
        <v>305</v>
      </c>
      <c r="C236" s="10" t="s">
        <v>451</v>
      </c>
      <c r="D236" s="6" t="s">
        <v>451</v>
      </c>
      <c r="E236" s="7"/>
      <c r="F236" s="7"/>
      <c r="G236" s="7"/>
      <c r="H236" s="7"/>
      <c r="I236" s="1"/>
      <c r="J236" s="1"/>
      <c r="K236" s="1"/>
      <c r="L236" s="1"/>
      <c r="M236" s="1"/>
      <c r="N236" s="1"/>
      <c r="O236" s="1"/>
      <c r="P236" s="1"/>
      <c r="Q236" s="12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2"/>
      <c r="AT236" s="1"/>
      <c r="AU236" s="1"/>
      <c r="AV236" s="1"/>
      <c r="AW236" s="1"/>
      <c r="AX236" s="1"/>
      <c r="AY236" s="1"/>
      <c r="AZ236" s="1">
        <v>3.3</v>
      </c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>
        <f>AVERAGE(AV236:BI236)</f>
        <v>3.3</v>
      </c>
      <c r="BN236" s="12">
        <f>AVERAGE(AT236:BK236)</f>
        <v>3.3</v>
      </c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2"/>
      <c r="CC236" s="13">
        <f t="shared" si="79"/>
        <v>0</v>
      </c>
      <c r="CD236" s="6"/>
      <c r="CE236" s="6"/>
      <c r="CF236" s="6"/>
      <c r="CG236" s="6"/>
      <c r="CH236" s="6"/>
      <c r="CI236" s="6"/>
      <c r="CJ236" s="13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</row>
    <row r="237" spans="1:160" x14ac:dyDescent="0.3">
      <c r="A237" s="6" t="s">
        <v>305</v>
      </c>
      <c r="B237" s="10" t="s">
        <v>305</v>
      </c>
      <c r="C237" s="10" t="s">
        <v>452</v>
      </c>
      <c r="D237" s="6" t="s">
        <v>452</v>
      </c>
      <c r="E237" s="7">
        <v>8.1646560000000008</v>
      </c>
      <c r="F237" s="7">
        <v>10.886208</v>
      </c>
      <c r="G237" s="7"/>
      <c r="H237" s="7"/>
      <c r="I237" s="1"/>
      <c r="J237" s="1"/>
      <c r="K237" s="1">
        <v>8</v>
      </c>
      <c r="L237" s="1">
        <v>11</v>
      </c>
      <c r="M237" s="1"/>
      <c r="N237" s="1"/>
      <c r="O237" s="1">
        <v>8</v>
      </c>
      <c r="P237" s="1">
        <v>11</v>
      </c>
      <c r="Q237" s="12">
        <v>9.5254320000000003</v>
      </c>
      <c r="R237" s="1"/>
      <c r="S237" s="1"/>
      <c r="T237" s="1">
        <v>9.5</v>
      </c>
      <c r="U237" s="1">
        <v>9.5</v>
      </c>
      <c r="V237" s="1">
        <v>9.5</v>
      </c>
      <c r="W237" s="1"/>
      <c r="X237" s="1"/>
      <c r="Y237" s="1"/>
      <c r="Z237" s="1"/>
      <c r="AA237" s="1"/>
      <c r="AB237" s="1"/>
      <c r="AC237" s="1"/>
      <c r="AD237" s="1"/>
      <c r="AE237" s="1">
        <f>AVERAGE(E237:P237)</f>
        <v>9.5084773333333334</v>
      </c>
      <c r="AF237" s="1"/>
      <c r="AG237" s="1">
        <f>AVERAGE(AE237:AF237)</f>
        <v>9.5084773333333334</v>
      </c>
      <c r="AH237" s="1">
        <v>12</v>
      </c>
      <c r="AI237" s="1">
        <v>15</v>
      </c>
      <c r="AJ237" s="1">
        <v>12</v>
      </c>
      <c r="AK237" s="1">
        <v>15</v>
      </c>
      <c r="AL237" s="1">
        <v>13.5</v>
      </c>
      <c r="AM237" s="1">
        <v>13.5</v>
      </c>
      <c r="AN237" s="1"/>
      <c r="AO237" s="1"/>
      <c r="AP237" s="1"/>
      <c r="AQ237" s="1">
        <f>AVERAGE(AH237:AK237)</f>
        <v>13.5</v>
      </c>
      <c r="AR237" s="1"/>
      <c r="AS237" s="12">
        <f>AVERAGE(AN237:AQ237)</f>
        <v>13.5</v>
      </c>
      <c r="AT237" s="1"/>
      <c r="AU237" s="1"/>
      <c r="AV237" s="1"/>
      <c r="AW237" s="1"/>
      <c r="AX237" s="1"/>
      <c r="AY237" s="1"/>
      <c r="AZ237" s="1">
        <v>5</v>
      </c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>
        <f>AVERAGE(AV237:BI237)</f>
        <v>5</v>
      </c>
      <c r="BN237" s="12">
        <f>AVERAGE(AT237:BK237)</f>
        <v>5</v>
      </c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2"/>
      <c r="CC237" s="13">
        <f t="shared" si="79"/>
        <v>0</v>
      </c>
      <c r="CD237" s="6"/>
      <c r="CE237" s="6"/>
      <c r="CF237" s="6"/>
      <c r="CG237" s="6"/>
      <c r="CH237" s="6"/>
      <c r="CI237" s="6"/>
      <c r="CJ237" s="13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</row>
    <row r="238" spans="1:160" x14ac:dyDescent="0.3">
      <c r="A238" s="6" t="s">
        <v>305</v>
      </c>
      <c r="B238" s="10" t="s">
        <v>305</v>
      </c>
      <c r="C238" s="10" t="s">
        <v>453</v>
      </c>
      <c r="D238" s="6" t="s">
        <v>453</v>
      </c>
      <c r="E238" s="7">
        <v>6.8038800000000004</v>
      </c>
      <c r="F238" s="7">
        <v>9.0718399999999999</v>
      </c>
      <c r="G238" s="7"/>
      <c r="H238" s="7"/>
      <c r="I238" s="1"/>
      <c r="J238" s="1"/>
      <c r="K238" s="1"/>
      <c r="L238" s="1"/>
      <c r="M238" s="1"/>
      <c r="N238" s="1"/>
      <c r="O238" s="1"/>
      <c r="P238" s="1"/>
      <c r="Q238" s="12">
        <v>7.9378599999999997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>
        <f>AVERAGE(E238:P238)</f>
        <v>7.9378600000000006</v>
      </c>
      <c r="AF238" s="1"/>
      <c r="AG238" s="1">
        <f>AVERAGE(AE238:AF238)</f>
        <v>7.9378600000000006</v>
      </c>
      <c r="AH238" s="1">
        <v>11</v>
      </c>
      <c r="AI238" s="1">
        <v>13</v>
      </c>
      <c r="AJ238" s="1"/>
      <c r="AK238" s="1"/>
      <c r="AL238" s="1">
        <v>12</v>
      </c>
      <c r="AM238" s="1"/>
      <c r="AN238" s="1"/>
      <c r="AO238" s="1"/>
      <c r="AP238" s="1"/>
      <c r="AQ238" s="1">
        <f>AVERAGE(AH238:AK238)</f>
        <v>12</v>
      </c>
      <c r="AR238" s="1"/>
      <c r="AS238" s="12">
        <f>AVERAGE(AN238:AQ238)</f>
        <v>12</v>
      </c>
      <c r="AT238" s="1"/>
      <c r="AU238" s="1"/>
      <c r="AV238" s="1"/>
      <c r="AW238" s="1"/>
      <c r="AX238" s="1"/>
      <c r="AY238" s="1"/>
      <c r="AZ238" s="1">
        <v>4.2</v>
      </c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>
        <f>AVERAGE(AV238:BI238)</f>
        <v>4.2</v>
      </c>
      <c r="BN238" s="12">
        <f>AVERAGE(AT238:BK238)</f>
        <v>4.2</v>
      </c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2"/>
      <c r="CC238" s="13">
        <f t="shared" si="79"/>
        <v>0</v>
      </c>
      <c r="CD238" s="6"/>
      <c r="CE238" s="6"/>
      <c r="CF238" s="6"/>
      <c r="CG238" s="6"/>
      <c r="CH238" s="6"/>
      <c r="CI238" s="6"/>
      <c r="CJ238" s="13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</row>
    <row r="239" spans="1:160" x14ac:dyDescent="0.3">
      <c r="A239" s="6" t="s">
        <v>305</v>
      </c>
      <c r="B239" s="10" t="s">
        <v>305</v>
      </c>
      <c r="C239" s="10" t="s">
        <v>454</v>
      </c>
      <c r="D239" s="6" t="s">
        <v>454</v>
      </c>
      <c r="E239" s="7">
        <v>36.28736</v>
      </c>
      <c r="F239" s="7">
        <v>45.359200000000001</v>
      </c>
      <c r="G239" s="7"/>
      <c r="H239" s="7"/>
      <c r="I239" s="1"/>
      <c r="J239" s="1"/>
      <c r="K239" s="1"/>
      <c r="L239" s="1"/>
      <c r="M239" s="1"/>
      <c r="N239" s="1"/>
      <c r="O239" s="1"/>
      <c r="P239" s="1"/>
      <c r="Q239" s="12">
        <v>40.823279999999997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>
        <f>AVERAGE(E239:P239)</f>
        <v>40.823279999999997</v>
      </c>
      <c r="AF239" s="1"/>
      <c r="AG239" s="1">
        <f>AVERAGE(AE239:AF239)</f>
        <v>40.823279999999997</v>
      </c>
      <c r="AH239" s="1">
        <v>9</v>
      </c>
      <c r="AI239" s="1">
        <v>15</v>
      </c>
      <c r="AJ239" s="1"/>
      <c r="AK239" s="1"/>
      <c r="AL239" s="1">
        <v>12</v>
      </c>
      <c r="AM239" s="1"/>
      <c r="AN239" s="1"/>
      <c r="AO239" s="1"/>
      <c r="AP239" s="1"/>
      <c r="AQ239" s="1">
        <f>AVERAGE(AH239:AK239)</f>
        <v>12</v>
      </c>
      <c r="AR239" s="1"/>
      <c r="AS239" s="12">
        <f>AVERAGE(AN239:AQ239)</f>
        <v>12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2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2"/>
      <c r="CC239" s="13">
        <f t="shared" si="79"/>
        <v>0</v>
      </c>
      <c r="CD239" s="6"/>
      <c r="CE239" s="6"/>
      <c r="CF239" s="6"/>
      <c r="CG239" s="6"/>
      <c r="CH239" s="6"/>
      <c r="CI239" s="6"/>
      <c r="CJ239" s="13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</row>
    <row r="240" spans="1:160" x14ac:dyDescent="0.3">
      <c r="A240" s="6" t="s">
        <v>305</v>
      </c>
      <c r="B240" s="10" t="s">
        <v>305</v>
      </c>
      <c r="C240" s="10" t="s">
        <v>455</v>
      </c>
      <c r="D240" s="6" t="s">
        <v>455</v>
      </c>
      <c r="E240" s="7">
        <v>21.772416</v>
      </c>
      <c r="F240" s="7">
        <v>33.112215999999997</v>
      </c>
      <c r="G240" s="7"/>
      <c r="H240" s="7"/>
      <c r="I240" s="1"/>
      <c r="J240" s="1"/>
      <c r="K240" s="1"/>
      <c r="L240" s="1"/>
      <c r="M240" s="1"/>
      <c r="N240" s="1"/>
      <c r="O240" s="1"/>
      <c r="P240" s="1"/>
      <c r="Q240" s="12">
        <v>27.442316000000002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>
        <f>AVERAGE(E240:P240)</f>
        <v>27.442315999999998</v>
      </c>
      <c r="AF240" s="1"/>
      <c r="AG240" s="1">
        <f>AVERAGE(AE240:AF240)</f>
        <v>27.442315999999998</v>
      </c>
      <c r="AH240" s="1">
        <v>11</v>
      </c>
      <c r="AI240" s="1">
        <v>14</v>
      </c>
      <c r="AJ240" s="1"/>
      <c r="AK240" s="1"/>
      <c r="AL240" s="1">
        <v>12.5</v>
      </c>
      <c r="AM240" s="1"/>
      <c r="AN240" s="1"/>
      <c r="AO240" s="1"/>
      <c r="AP240" s="1"/>
      <c r="AQ240" s="1">
        <f>AVERAGE(AH240:AK240)</f>
        <v>12.5</v>
      </c>
      <c r="AR240" s="1"/>
      <c r="AS240" s="12">
        <f>AVERAGE(AN240:AQ240)</f>
        <v>12.5</v>
      </c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>
        <f>BO240+BP240</f>
        <v>5.99</v>
      </c>
      <c r="BJ240" s="1"/>
      <c r="BK240" s="1"/>
      <c r="BL240" s="1"/>
      <c r="BM240" s="1">
        <f>AVERAGE(AV240:BI240)</f>
        <v>5.99</v>
      </c>
      <c r="BN240" s="12">
        <f>AVERAGE(AT240:BK240)</f>
        <v>5.99</v>
      </c>
      <c r="BO240" s="1">
        <v>3.05</v>
      </c>
      <c r="BP240" s="1">
        <v>2.94</v>
      </c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2"/>
      <c r="CC240" s="13">
        <f t="shared" si="79"/>
        <v>0</v>
      </c>
      <c r="CD240" s="6"/>
      <c r="CE240" s="6"/>
      <c r="CF240" s="6"/>
      <c r="CG240" s="6"/>
      <c r="CH240" s="6"/>
      <c r="CI240" s="6"/>
      <c r="CJ240" s="13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</row>
    <row r="241" spans="1:160" x14ac:dyDescent="0.3">
      <c r="A241" s="6" t="s">
        <v>305</v>
      </c>
      <c r="B241" s="10" t="s">
        <v>305</v>
      </c>
      <c r="C241" s="10" t="s">
        <v>456</v>
      </c>
      <c r="D241" s="6" t="s">
        <v>456</v>
      </c>
      <c r="E241" s="7"/>
      <c r="F241" s="7"/>
      <c r="G241" s="7"/>
      <c r="H241" s="7"/>
      <c r="I241" s="1"/>
      <c r="J241" s="1"/>
      <c r="K241" s="1"/>
      <c r="L241" s="1"/>
      <c r="M241" s="1"/>
      <c r="N241" s="1"/>
      <c r="O241" s="1"/>
      <c r="P241" s="1"/>
      <c r="Q241" s="12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2"/>
      <c r="AT241" s="1"/>
      <c r="AU241" s="1"/>
      <c r="AV241" s="1"/>
      <c r="AW241" s="1"/>
      <c r="AX241" s="1"/>
      <c r="AY241" s="1"/>
      <c r="AZ241" s="1">
        <v>6.6</v>
      </c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>
        <f>AVERAGE(AV241:BI241)</f>
        <v>6.6</v>
      </c>
      <c r="BN241" s="12">
        <f>AVERAGE(AT241:BK241)</f>
        <v>6.6</v>
      </c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2"/>
      <c r="CC241" s="13">
        <f t="shared" si="79"/>
        <v>0</v>
      </c>
      <c r="CD241" s="6"/>
      <c r="CE241" s="6"/>
      <c r="CF241" s="6"/>
      <c r="CG241" s="6"/>
      <c r="CH241" s="6"/>
      <c r="CI241" s="6"/>
      <c r="CJ241" s="13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</row>
    <row r="242" spans="1:160" x14ac:dyDescent="0.3">
      <c r="A242" s="6" t="s">
        <v>305</v>
      </c>
      <c r="B242" s="10" t="s">
        <v>305</v>
      </c>
      <c r="C242" s="10" t="s">
        <v>457</v>
      </c>
      <c r="D242" s="6" t="s">
        <v>457</v>
      </c>
      <c r="E242" s="7">
        <v>19.050864000000001</v>
      </c>
      <c r="F242" s="7">
        <v>34.019399999999997</v>
      </c>
      <c r="G242" s="7"/>
      <c r="H242" s="7"/>
      <c r="I242" s="1"/>
      <c r="J242" s="1"/>
      <c r="K242" s="1"/>
      <c r="L242" s="1"/>
      <c r="M242" s="1"/>
      <c r="N242" s="1"/>
      <c r="O242" s="1"/>
      <c r="P242" s="1"/>
      <c r="Q242" s="12">
        <v>26.535132000000001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>
        <f>AVERAGE(E242:P242)</f>
        <v>26.535131999999997</v>
      </c>
      <c r="AF242" s="1"/>
      <c r="AG242" s="1">
        <f>AVERAGE(AE242:AF242)</f>
        <v>26.535131999999997</v>
      </c>
      <c r="AH242" s="1">
        <v>11</v>
      </c>
      <c r="AI242" s="1">
        <v>14</v>
      </c>
      <c r="AJ242" s="1"/>
      <c r="AK242" s="1"/>
      <c r="AL242" s="1">
        <v>12.5</v>
      </c>
      <c r="AM242" s="1"/>
      <c r="AN242" s="1"/>
      <c r="AO242" s="1"/>
      <c r="AP242" s="1"/>
      <c r="AQ242" s="1">
        <f>AVERAGE(AH242:AK242)</f>
        <v>12.5</v>
      </c>
      <c r="AR242" s="1"/>
      <c r="AS242" s="12">
        <f>AVERAGE(AN242:AQ242)</f>
        <v>12.5</v>
      </c>
      <c r="AT242" s="1"/>
      <c r="AU242" s="1"/>
      <c r="AV242" s="1"/>
      <c r="AW242" s="1"/>
      <c r="AX242" s="1"/>
      <c r="AY242" s="1"/>
      <c r="AZ242" s="1">
        <v>7.75</v>
      </c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>
        <f>AVERAGE(AV242:BI242)</f>
        <v>7.75</v>
      </c>
      <c r="BN242" s="12">
        <f>AVERAGE(AT242:BK242)</f>
        <v>7.75</v>
      </c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2"/>
      <c r="CC242" s="13">
        <f t="shared" si="79"/>
        <v>0</v>
      </c>
      <c r="CD242" s="6"/>
      <c r="CE242" s="6"/>
      <c r="CF242" s="6"/>
      <c r="CG242" s="6"/>
      <c r="CH242" s="6"/>
      <c r="CI242" s="6"/>
      <c r="CJ242" s="13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</row>
    <row r="243" spans="1:160" x14ac:dyDescent="0.3">
      <c r="A243" s="6" t="s">
        <v>305</v>
      </c>
      <c r="B243" s="10" t="s">
        <v>305</v>
      </c>
      <c r="C243" s="10" t="s">
        <v>458</v>
      </c>
      <c r="D243" s="6" t="s">
        <v>458</v>
      </c>
      <c r="E243" s="7"/>
      <c r="F243" s="7"/>
      <c r="G243" s="7"/>
      <c r="H243" s="7"/>
      <c r="I243" s="1"/>
      <c r="J243" s="1"/>
      <c r="K243" s="1"/>
      <c r="L243" s="1"/>
      <c r="M243" s="1"/>
      <c r="N243" s="1"/>
      <c r="O243" s="1"/>
      <c r="P243" s="1"/>
      <c r="Q243" s="12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2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2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2"/>
      <c r="CC243" s="13">
        <f t="shared" si="79"/>
        <v>0</v>
      </c>
      <c r="CD243" s="6"/>
      <c r="CE243" s="6"/>
      <c r="CF243" s="6"/>
      <c r="CG243" s="6"/>
      <c r="CH243" s="6"/>
      <c r="CI243" s="6"/>
      <c r="CJ243" s="13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</row>
    <row r="244" spans="1:160" x14ac:dyDescent="0.3">
      <c r="A244" s="6" t="s">
        <v>305</v>
      </c>
      <c r="B244" s="10" t="s">
        <v>305</v>
      </c>
      <c r="C244" s="10" t="s">
        <v>459</v>
      </c>
      <c r="D244" s="6" t="s">
        <v>460</v>
      </c>
      <c r="E244" s="7"/>
      <c r="F244" s="7"/>
      <c r="G244" s="7"/>
      <c r="H244" s="7"/>
      <c r="I244" s="1"/>
      <c r="J244" s="1"/>
      <c r="K244" s="1"/>
      <c r="L244" s="1"/>
      <c r="M244" s="1"/>
      <c r="N244" s="1"/>
      <c r="O244" s="1"/>
      <c r="P244" s="1"/>
      <c r="Q244" s="12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2"/>
      <c r="AT244" s="1"/>
      <c r="AU244" s="1"/>
      <c r="AV244" s="1"/>
      <c r="AW244" s="1"/>
      <c r="AX244" s="1"/>
      <c r="AY244" s="1"/>
      <c r="AZ244" s="1">
        <v>6.8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>
        <f>AVERAGE(AV244:BI244)</f>
        <v>6.8</v>
      </c>
      <c r="BN244" s="12">
        <f>AVERAGE(AT244:BK244)</f>
        <v>6.8</v>
      </c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2"/>
      <c r="CC244" s="13">
        <f t="shared" si="79"/>
        <v>0</v>
      </c>
      <c r="CD244" s="6"/>
      <c r="CE244" s="6"/>
      <c r="CF244" s="6"/>
      <c r="CG244" s="6"/>
      <c r="CH244" s="6"/>
      <c r="CI244" s="6"/>
      <c r="CJ244" s="13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</row>
    <row r="245" spans="1:160" x14ac:dyDescent="0.3">
      <c r="A245" s="6" t="s">
        <v>305</v>
      </c>
      <c r="B245" s="10" t="s">
        <v>305</v>
      </c>
      <c r="C245" s="10" t="s">
        <v>461</v>
      </c>
      <c r="D245" s="6" t="s">
        <v>461</v>
      </c>
      <c r="E245" s="7">
        <v>27.215520000000001</v>
      </c>
      <c r="F245" s="7">
        <v>34.019399999999997</v>
      </c>
      <c r="G245" s="7">
        <v>25</v>
      </c>
      <c r="H245" s="7">
        <v>34</v>
      </c>
      <c r="I245" s="1"/>
      <c r="J245" s="1"/>
      <c r="K245" s="1"/>
      <c r="L245" s="1"/>
      <c r="M245" s="1"/>
      <c r="N245" s="1"/>
      <c r="O245" s="1"/>
      <c r="P245" s="1"/>
      <c r="Q245" s="12">
        <v>30.617460000000001</v>
      </c>
      <c r="R245" s="1"/>
      <c r="S245" s="1"/>
      <c r="T245" s="1">
        <v>29.5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>
        <f>AVERAGE(E245:P245)</f>
        <v>30.058730000000001</v>
      </c>
      <c r="AF245" s="1"/>
      <c r="AG245" s="1">
        <f>AVERAGE(AE245:AF245)</f>
        <v>30.058730000000001</v>
      </c>
      <c r="AH245" s="1">
        <v>10</v>
      </c>
      <c r="AI245" s="1">
        <v>13</v>
      </c>
      <c r="AJ245" s="1">
        <v>11</v>
      </c>
      <c r="AK245" s="1">
        <v>12</v>
      </c>
      <c r="AL245" s="1">
        <v>11.5</v>
      </c>
      <c r="AM245" s="1">
        <v>11.5</v>
      </c>
      <c r="AN245" s="1"/>
      <c r="AO245" s="1"/>
      <c r="AP245" s="1"/>
      <c r="AQ245" s="1">
        <f>AVERAGE(AH245:AK245)</f>
        <v>11.5</v>
      </c>
      <c r="AR245" s="1"/>
      <c r="AS245" s="12">
        <f>AVERAGE(AN245:AQ245)</f>
        <v>11.5</v>
      </c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2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2"/>
      <c r="CC245" s="13">
        <f t="shared" si="79"/>
        <v>0</v>
      </c>
      <c r="CD245" s="6"/>
      <c r="CE245" s="6"/>
      <c r="CF245" s="6"/>
      <c r="CG245" s="6"/>
      <c r="CH245" s="6"/>
      <c r="CI245" s="6"/>
      <c r="CJ245" s="13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</row>
    <row r="246" spans="1:160" x14ac:dyDescent="0.3">
      <c r="A246" s="6" t="s">
        <v>305</v>
      </c>
      <c r="B246" s="10" t="s">
        <v>305</v>
      </c>
      <c r="C246" s="10" t="s">
        <v>462</v>
      </c>
      <c r="D246" s="6" t="s">
        <v>462</v>
      </c>
      <c r="E246" s="7"/>
      <c r="F246" s="7"/>
      <c r="G246" s="7"/>
      <c r="H246" s="7"/>
      <c r="I246" s="1">
        <v>24.947559999999999</v>
      </c>
      <c r="J246" s="1">
        <v>34.019399999999997</v>
      </c>
      <c r="K246" s="1">
        <v>25</v>
      </c>
      <c r="L246" s="1">
        <v>34</v>
      </c>
      <c r="M246" s="1">
        <v>20.411639999999998</v>
      </c>
      <c r="N246" s="1">
        <v>27.215520000000001</v>
      </c>
      <c r="O246" s="1">
        <v>20.5</v>
      </c>
      <c r="P246" s="1">
        <v>29.5</v>
      </c>
      <c r="Q246" s="12">
        <v>26.648530000000001</v>
      </c>
      <c r="R246" s="1">
        <v>29.48348</v>
      </c>
      <c r="S246" s="1">
        <v>23.813580000000002</v>
      </c>
      <c r="T246" s="1">
        <v>27.25</v>
      </c>
      <c r="U246" s="1">
        <v>29.5</v>
      </c>
      <c r="V246" s="1">
        <v>25</v>
      </c>
      <c r="W246" s="1"/>
      <c r="X246" s="1"/>
      <c r="Y246" s="1"/>
      <c r="Z246" s="1"/>
      <c r="AA246" s="1">
        <v>29</v>
      </c>
      <c r="AB246" s="1"/>
      <c r="AC246" s="1"/>
      <c r="AD246" s="1"/>
      <c r="AE246" s="1">
        <f>AVERAGE(E246:P246)</f>
        <v>26.949265</v>
      </c>
      <c r="AF246" s="1">
        <f>AVERAGE(X246:AD246)</f>
        <v>29</v>
      </c>
      <c r="AG246" s="1">
        <f>AVERAGE(AE246:AF246)</f>
        <v>27.974632499999998</v>
      </c>
      <c r="AH246" s="1">
        <v>12</v>
      </c>
      <c r="AI246" s="1">
        <v>17</v>
      </c>
      <c r="AJ246" s="1">
        <v>13</v>
      </c>
      <c r="AK246" s="1">
        <v>14</v>
      </c>
      <c r="AL246" s="1">
        <v>14.5</v>
      </c>
      <c r="AM246" s="1">
        <v>13.5</v>
      </c>
      <c r="AN246" s="1"/>
      <c r="AO246" s="1"/>
      <c r="AP246" s="1"/>
      <c r="AQ246" s="1">
        <f>AVERAGE(AH246:AK246)</f>
        <v>14</v>
      </c>
      <c r="AR246" s="1"/>
      <c r="AS246" s="12">
        <f>AVERAGE(AN246:AQ246)</f>
        <v>14</v>
      </c>
      <c r="AT246" s="1"/>
      <c r="AU246" s="1"/>
      <c r="AV246" s="1"/>
      <c r="AW246" s="1"/>
      <c r="AX246" s="1"/>
      <c r="AY246" s="1"/>
      <c r="AZ246" s="1">
        <v>7.2</v>
      </c>
      <c r="BA246" s="1"/>
      <c r="BB246" s="1"/>
      <c r="BC246" s="1"/>
      <c r="BD246" s="1"/>
      <c r="BE246" s="1">
        <v>3.5</v>
      </c>
      <c r="BF246" s="1"/>
      <c r="BG246" s="1"/>
      <c r="BH246" s="1"/>
      <c r="BI246" s="1"/>
      <c r="BJ246" s="1"/>
      <c r="BK246" s="1"/>
      <c r="BL246" s="1"/>
      <c r="BM246" s="1">
        <f>AVERAGE(AV246:BI246)</f>
        <v>5.35</v>
      </c>
      <c r="BN246" s="12">
        <f>AVERAGE(AT246:BK246)</f>
        <v>5.35</v>
      </c>
      <c r="BO246" s="1"/>
      <c r="BP246" s="1"/>
      <c r="BQ246" s="1"/>
      <c r="BR246" s="1"/>
      <c r="BS246" s="1"/>
      <c r="BT246" s="1">
        <v>465</v>
      </c>
      <c r="BU246" s="1"/>
      <c r="BV246" s="1"/>
      <c r="BW246" s="1"/>
      <c r="BX246" s="1"/>
      <c r="BY246" s="1">
        <f>AVERAGE(BR246:BU246)</f>
        <v>465</v>
      </c>
      <c r="BZ246" s="1">
        <f>BY246/1000</f>
        <v>0.46500000000000002</v>
      </c>
      <c r="CA246" s="1">
        <f>AVERAGE(BQ246:BU246)</f>
        <v>465</v>
      </c>
      <c r="CB246" s="12">
        <f>CA246/1000</f>
        <v>0.46500000000000002</v>
      </c>
      <c r="CC246" s="13">
        <f t="shared" si="79"/>
        <v>2.4877500000000001</v>
      </c>
      <c r="CD246" s="6"/>
      <c r="CE246" s="6"/>
      <c r="CF246" s="6"/>
      <c r="CG246" s="6"/>
      <c r="CH246" s="6"/>
      <c r="CI246" s="6"/>
      <c r="CJ246" s="13">
        <f>((Q246-CB246)/CB246)*100</f>
        <v>5630.8666666666668</v>
      </c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</row>
    <row r="247" spans="1:160" x14ac:dyDescent="0.3">
      <c r="A247" s="6" t="s">
        <v>305</v>
      </c>
      <c r="B247" s="10" t="s">
        <v>305</v>
      </c>
      <c r="C247" s="10" t="s">
        <v>463</v>
      </c>
      <c r="D247" s="6" t="s">
        <v>463</v>
      </c>
      <c r="E247" s="7">
        <v>3.628736</v>
      </c>
      <c r="F247" s="7">
        <v>6.3502879999999999</v>
      </c>
      <c r="G247" s="7">
        <v>3.6</v>
      </c>
      <c r="H247" s="7">
        <v>6.3</v>
      </c>
      <c r="I247" s="1"/>
      <c r="J247" s="1"/>
      <c r="K247" s="1"/>
      <c r="L247" s="1"/>
      <c r="M247" s="1"/>
      <c r="N247" s="1"/>
      <c r="O247" s="1"/>
      <c r="P247" s="1"/>
      <c r="Q247" s="12">
        <v>4.9895120000000004</v>
      </c>
      <c r="R247" s="1"/>
      <c r="S247" s="1"/>
      <c r="T247" s="1">
        <v>4.95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>
        <f>AVERAGE(E247:P247)</f>
        <v>4.9697559999999994</v>
      </c>
      <c r="AF247" s="1"/>
      <c r="AG247" s="1">
        <f>AVERAGE(AE247:AF247)</f>
        <v>4.9697559999999994</v>
      </c>
      <c r="AH247" s="1">
        <v>10</v>
      </c>
      <c r="AI247" s="1">
        <v>12</v>
      </c>
      <c r="AJ247" s="1">
        <v>10</v>
      </c>
      <c r="AK247" s="1">
        <v>12</v>
      </c>
      <c r="AL247" s="1">
        <v>11</v>
      </c>
      <c r="AM247" s="1">
        <v>11</v>
      </c>
      <c r="AN247" s="1"/>
      <c r="AO247" s="1"/>
      <c r="AP247" s="1"/>
      <c r="AQ247" s="1">
        <f>AVERAGE(AH247:AK247)</f>
        <v>11</v>
      </c>
      <c r="AR247" s="1"/>
      <c r="AS247" s="12">
        <f>AVERAGE(AN247:AQ247)</f>
        <v>11</v>
      </c>
      <c r="AT247" s="1">
        <v>3.5</v>
      </c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>
        <f>AVERAGE(AT247:AU247)</f>
        <v>3.5</v>
      </c>
      <c r="BM247" s="1"/>
      <c r="BN247" s="12">
        <f>AVERAGE(AT247:BK247)</f>
        <v>3.5</v>
      </c>
      <c r="BO247" s="1"/>
      <c r="BP247" s="1"/>
      <c r="BQ247" s="1">
        <v>141.7475</v>
      </c>
      <c r="BR247" s="1"/>
      <c r="BS247" s="1"/>
      <c r="BT247" s="1"/>
      <c r="BU247" s="1"/>
      <c r="BV247" s="1"/>
      <c r="BW247" s="1"/>
      <c r="BX247" s="1">
        <v>141.7475</v>
      </c>
      <c r="BY247" s="1"/>
      <c r="BZ247" s="1"/>
      <c r="CA247" s="1">
        <f>AVERAGE(BQ247:BU247)</f>
        <v>141.7475</v>
      </c>
      <c r="CB247" s="12">
        <f>CA247/1000</f>
        <v>0.1417475</v>
      </c>
      <c r="CC247" s="13">
        <f t="shared" si="79"/>
        <v>0.49611624999999998</v>
      </c>
      <c r="CD247" s="6"/>
      <c r="CE247" s="6"/>
      <c r="CF247" s="6"/>
      <c r="CG247" s="6"/>
      <c r="CH247" s="6"/>
      <c r="CI247" s="6"/>
      <c r="CJ247" s="13">
        <f>((Q247-CB247)/CB247)*100</f>
        <v>3420.0000000000005</v>
      </c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</row>
    <row r="248" spans="1:160" x14ac:dyDescent="0.3">
      <c r="A248" s="6" t="s">
        <v>305</v>
      </c>
      <c r="B248" s="10" t="s">
        <v>305</v>
      </c>
      <c r="C248" s="10" t="s">
        <v>464</v>
      </c>
      <c r="D248" s="6" t="s">
        <v>464</v>
      </c>
      <c r="E248" s="7"/>
      <c r="F248" s="7"/>
      <c r="G248" s="7"/>
      <c r="H248" s="7"/>
      <c r="I248" s="1"/>
      <c r="J248" s="1"/>
      <c r="K248" s="1"/>
      <c r="L248" s="1"/>
      <c r="M248" s="1"/>
      <c r="N248" s="1"/>
      <c r="O248" s="1"/>
      <c r="P248" s="1"/>
      <c r="Q248" s="12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2"/>
      <c r="AT248" s="1"/>
      <c r="AU248" s="1"/>
      <c r="AV248" s="1"/>
      <c r="AW248" s="1"/>
      <c r="AX248" s="1"/>
      <c r="AY248" s="1"/>
      <c r="AZ248" s="1">
        <v>3.9</v>
      </c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>
        <f>AVERAGE(AV248:BI248)</f>
        <v>3.9</v>
      </c>
      <c r="BN248" s="12">
        <f>AVERAGE(AT248:BK248)</f>
        <v>3.9</v>
      </c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2"/>
      <c r="CC248" s="13">
        <f t="shared" si="79"/>
        <v>0</v>
      </c>
      <c r="CD248" s="6"/>
      <c r="CE248" s="6"/>
      <c r="CF248" s="6"/>
      <c r="CG248" s="6"/>
      <c r="CH248" s="6"/>
      <c r="CI248" s="6"/>
      <c r="CJ248" s="13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</row>
    <row r="249" spans="1:160" x14ac:dyDescent="0.3">
      <c r="A249" s="6" t="s">
        <v>305</v>
      </c>
      <c r="B249" s="10" t="s">
        <v>305</v>
      </c>
      <c r="C249" s="10" t="s">
        <v>465</v>
      </c>
      <c r="D249" s="6" t="s">
        <v>465</v>
      </c>
      <c r="E249" s="7"/>
      <c r="F249" s="7"/>
      <c r="G249" s="7">
        <v>25</v>
      </c>
      <c r="H249" s="7">
        <v>30</v>
      </c>
      <c r="I249" s="1">
        <v>22.679600000000001</v>
      </c>
      <c r="J249" s="1">
        <v>29.48348</v>
      </c>
      <c r="K249" s="1"/>
      <c r="L249" s="1"/>
      <c r="M249" s="1">
        <v>18.14368</v>
      </c>
      <c r="N249" s="1">
        <v>24.947559999999999</v>
      </c>
      <c r="O249" s="1"/>
      <c r="P249" s="1"/>
      <c r="Q249" s="12">
        <v>23.813580000000002</v>
      </c>
      <c r="R249" s="1">
        <v>26.08154</v>
      </c>
      <c r="S249" s="1">
        <v>21.54562</v>
      </c>
      <c r="T249" s="1">
        <v>27.5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>
        <f>AVERAGE(E249:P249)</f>
        <v>25.042386666666669</v>
      </c>
      <c r="AF249" s="1"/>
      <c r="AG249" s="1">
        <f>AVERAGE(AE249:AF249)</f>
        <v>25.042386666666669</v>
      </c>
      <c r="AH249" s="1">
        <v>11</v>
      </c>
      <c r="AI249" s="1">
        <v>13</v>
      </c>
      <c r="AJ249" s="1">
        <v>11</v>
      </c>
      <c r="AK249" s="1">
        <v>15</v>
      </c>
      <c r="AL249" s="1">
        <v>12</v>
      </c>
      <c r="AM249" s="1">
        <v>13</v>
      </c>
      <c r="AN249" s="1"/>
      <c r="AO249" s="1"/>
      <c r="AP249" s="1"/>
      <c r="AQ249" s="1">
        <f>AVERAGE(AH249:AK249)</f>
        <v>12.5</v>
      </c>
      <c r="AR249" s="1"/>
      <c r="AS249" s="12">
        <f>AVERAGE(AN249:AQ249)</f>
        <v>12.5</v>
      </c>
      <c r="AT249" s="1"/>
      <c r="AU249" s="1"/>
      <c r="AV249" s="1"/>
      <c r="AW249" s="1"/>
      <c r="AX249" s="1">
        <v>5.49</v>
      </c>
      <c r="AY249" s="1"/>
      <c r="AZ249" s="1"/>
      <c r="BA249" s="1"/>
      <c r="BB249" s="1"/>
      <c r="BC249" s="1"/>
      <c r="BD249" s="1"/>
      <c r="BE249" s="1">
        <v>7</v>
      </c>
      <c r="BF249" s="1"/>
      <c r="BG249" s="1"/>
      <c r="BH249" s="1"/>
      <c r="BI249" s="1"/>
      <c r="BJ249" s="1"/>
      <c r="BK249" s="1"/>
      <c r="BL249" s="1"/>
      <c r="BM249" s="1">
        <f>AVERAGE(AV249:BI249)</f>
        <v>6.2450000000000001</v>
      </c>
      <c r="BN249" s="12">
        <f>AVERAGE(AT249:BK249)</f>
        <v>6.2450000000000001</v>
      </c>
      <c r="BO249" s="1"/>
      <c r="BP249" s="1"/>
      <c r="BQ249" s="1"/>
      <c r="BR249" s="1"/>
      <c r="BS249" s="1"/>
      <c r="BT249" s="1">
        <v>344</v>
      </c>
      <c r="BU249" s="1"/>
      <c r="BV249" s="1"/>
      <c r="BW249" s="1"/>
      <c r="BX249" s="1"/>
      <c r="BY249" s="1">
        <f>AVERAGE(BR249:BU249)</f>
        <v>344</v>
      </c>
      <c r="BZ249" s="1">
        <f>BY249/1000</f>
        <v>0.34399999999999997</v>
      </c>
      <c r="CA249" s="1">
        <f>AVERAGE(BQ249:BU249)</f>
        <v>344</v>
      </c>
      <c r="CB249" s="12">
        <f>CA249/1000</f>
        <v>0.34399999999999997</v>
      </c>
      <c r="CC249" s="13">
        <f t="shared" si="79"/>
        <v>2.1482799999999997</v>
      </c>
      <c r="CD249" s="6"/>
      <c r="CE249" s="6"/>
      <c r="CF249" s="6"/>
      <c r="CG249" s="6"/>
      <c r="CH249" s="6"/>
      <c r="CI249" s="6"/>
      <c r="CJ249" s="13">
        <f>((Q249-CB249)/CB249)*100</f>
        <v>6822.5523255813951</v>
      </c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</row>
    <row r="250" spans="1:160" x14ac:dyDescent="0.3">
      <c r="A250" s="6" t="s">
        <v>305</v>
      </c>
      <c r="B250" s="10" t="s">
        <v>305</v>
      </c>
      <c r="C250" s="10" t="s">
        <v>466</v>
      </c>
      <c r="D250" s="6" t="s">
        <v>467</v>
      </c>
      <c r="E250" s="7">
        <v>34.926583999999998</v>
      </c>
      <c r="F250" s="7">
        <v>59.874144000000001</v>
      </c>
      <c r="G250" s="7"/>
      <c r="H250" s="7"/>
      <c r="I250" s="1"/>
      <c r="J250" s="1"/>
      <c r="K250" s="1"/>
      <c r="L250" s="1"/>
      <c r="M250" s="1"/>
      <c r="N250" s="1"/>
      <c r="O250" s="1"/>
      <c r="P250" s="1"/>
      <c r="Q250" s="12">
        <v>47.400364000000003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>
        <f>AVERAGE(E250:P250)</f>
        <v>47.400363999999996</v>
      </c>
      <c r="AF250" s="1"/>
      <c r="AG250" s="1">
        <f>AVERAGE(AE250:AF250)</f>
        <v>47.400363999999996</v>
      </c>
      <c r="AH250" s="1">
        <v>10</v>
      </c>
      <c r="AI250" s="1">
        <v>14</v>
      </c>
      <c r="AJ250" s="1"/>
      <c r="AK250" s="1"/>
      <c r="AL250" s="1">
        <v>12</v>
      </c>
      <c r="AM250" s="1"/>
      <c r="AN250" s="1"/>
      <c r="AO250" s="1"/>
      <c r="AP250" s="1"/>
      <c r="AQ250" s="1">
        <f>AVERAGE(AH250:AK250)</f>
        <v>12</v>
      </c>
      <c r="AR250" s="1"/>
      <c r="AS250" s="12">
        <f>AVERAGE(AN250:AQ250)</f>
        <v>12</v>
      </c>
      <c r="AT250" s="1"/>
      <c r="AU250" s="1"/>
      <c r="AV250" s="1"/>
      <c r="AW250" s="1"/>
      <c r="AX250" s="1"/>
      <c r="AY250" s="1"/>
      <c r="AZ250" s="1">
        <v>4.5</v>
      </c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>
        <f>AVERAGE(AV250:BI250)</f>
        <v>4.5</v>
      </c>
      <c r="BN250" s="12">
        <f>AVERAGE(AT250:BK250)</f>
        <v>4.5</v>
      </c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2"/>
      <c r="CC250" s="13">
        <f t="shared" si="79"/>
        <v>0</v>
      </c>
      <c r="CD250" s="6"/>
      <c r="CE250" s="6"/>
      <c r="CF250" s="6"/>
      <c r="CG250" s="6"/>
      <c r="CH250" s="6"/>
      <c r="CI250" s="6"/>
      <c r="CJ250" s="13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</row>
    <row r="251" spans="1:160" x14ac:dyDescent="0.3">
      <c r="A251" s="6" t="s">
        <v>305</v>
      </c>
      <c r="B251" s="10" t="s">
        <v>305</v>
      </c>
      <c r="C251" s="10" t="s">
        <v>468</v>
      </c>
      <c r="D251" s="6" t="s">
        <v>468</v>
      </c>
      <c r="E251" s="7"/>
      <c r="F251" s="7"/>
      <c r="G251" s="7"/>
      <c r="H251" s="7"/>
      <c r="I251" s="1"/>
      <c r="J251" s="1"/>
      <c r="K251" s="1"/>
      <c r="L251" s="1"/>
      <c r="M251" s="1"/>
      <c r="N251" s="1"/>
      <c r="O251" s="1"/>
      <c r="P251" s="1"/>
      <c r="Q251" s="12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2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2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2"/>
      <c r="CC251" s="13">
        <f t="shared" si="79"/>
        <v>0</v>
      </c>
      <c r="CD251" s="6"/>
      <c r="CE251" s="6"/>
      <c r="CF251" s="6"/>
      <c r="CG251" s="6"/>
      <c r="CH251" s="6"/>
      <c r="CI251" s="6"/>
      <c r="CJ251" s="13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</row>
    <row r="252" spans="1:160" x14ac:dyDescent="0.3">
      <c r="A252" s="6" t="s">
        <v>305</v>
      </c>
      <c r="B252" s="10" t="s">
        <v>305</v>
      </c>
      <c r="C252" s="10" t="s">
        <v>469</v>
      </c>
      <c r="D252" s="6" t="s">
        <v>469</v>
      </c>
      <c r="E252" s="7"/>
      <c r="F252" s="7"/>
      <c r="G252" s="7"/>
      <c r="H252" s="7"/>
      <c r="I252" s="1"/>
      <c r="J252" s="1"/>
      <c r="K252" s="1"/>
      <c r="L252" s="1"/>
      <c r="M252" s="1"/>
      <c r="N252" s="1"/>
      <c r="O252" s="1"/>
      <c r="P252" s="1"/>
      <c r="Q252" s="12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2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2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2"/>
      <c r="CC252" s="13">
        <f t="shared" si="79"/>
        <v>0</v>
      </c>
      <c r="CD252" s="6"/>
      <c r="CE252" s="6"/>
      <c r="CF252" s="6"/>
      <c r="CG252" s="6"/>
      <c r="CH252" s="6"/>
      <c r="CI252" s="6"/>
      <c r="CJ252" s="13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</row>
    <row r="253" spans="1:160" x14ac:dyDescent="0.3">
      <c r="A253" s="6" t="s">
        <v>305</v>
      </c>
      <c r="B253" s="10" t="s">
        <v>305</v>
      </c>
      <c r="C253" s="10" t="s">
        <v>470</v>
      </c>
      <c r="D253" s="6" t="s">
        <v>470</v>
      </c>
      <c r="E253" s="7"/>
      <c r="F253" s="7"/>
      <c r="G253" s="7"/>
      <c r="H253" s="7"/>
      <c r="I253" s="1"/>
      <c r="J253" s="1"/>
      <c r="K253" s="1"/>
      <c r="L253" s="1"/>
      <c r="M253" s="1"/>
      <c r="N253" s="1"/>
      <c r="O253" s="1"/>
      <c r="P253" s="1"/>
      <c r="Q253" s="12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2"/>
      <c r="AT253" s="1"/>
      <c r="AU253" s="1"/>
      <c r="AV253" s="1"/>
      <c r="AW253" s="1"/>
      <c r="AX253" s="1"/>
      <c r="AY253" s="1"/>
      <c r="AZ253" s="1">
        <v>7.1</v>
      </c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>
        <f>AVERAGE(AV253:BI253)</f>
        <v>7.1</v>
      </c>
      <c r="BN253" s="12">
        <f>AVERAGE(AT253:BK253)</f>
        <v>7.1</v>
      </c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2"/>
      <c r="CC253" s="13">
        <f t="shared" si="79"/>
        <v>0</v>
      </c>
      <c r="CD253" s="6"/>
      <c r="CE253" s="6"/>
      <c r="CF253" s="6"/>
      <c r="CG253" s="6"/>
      <c r="CH253" s="6"/>
      <c r="CI253" s="6"/>
      <c r="CJ253" s="13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</row>
    <row r="254" spans="1:160" x14ac:dyDescent="0.3">
      <c r="A254" s="6" t="s">
        <v>305</v>
      </c>
      <c r="B254" s="10" t="s">
        <v>305</v>
      </c>
      <c r="C254" s="10" t="s">
        <v>471</v>
      </c>
      <c r="D254" s="6" t="s">
        <v>471</v>
      </c>
      <c r="E254" s="7">
        <v>14.968536</v>
      </c>
      <c r="F254" s="7">
        <v>24.040375999999998</v>
      </c>
      <c r="G254" s="7"/>
      <c r="H254" s="7"/>
      <c r="I254" s="1"/>
      <c r="J254" s="1"/>
      <c r="K254" s="1"/>
      <c r="L254" s="1"/>
      <c r="M254" s="1"/>
      <c r="N254" s="1"/>
      <c r="O254" s="1"/>
      <c r="P254" s="1"/>
      <c r="Q254" s="12">
        <v>19.504456000000001</v>
      </c>
      <c r="R254" s="1"/>
      <c r="S254" s="1"/>
      <c r="T254" s="1"/>
      <c r="U254" s="1"/>
      <c r="V254" s="1"/>
      <c r="W254" s="1">
        <f>AVERAGE(X254:Y254)</f>
        <v>20.64</v>
      </c>
      <c r="X254" s="1">
        <v>20.64</v>
      </c>
      <c r="Y254" s="1">
        <v>20.64</v>
      </c>
      <c r="Z254" s="1"/>
      <c r="AA254" s="1"/>
      <c r="AB254" s="1"/>
      <c r="AC254" s="1"/>
      <c r="AD254" s="1"/>
      <c r="AE254" s="1">
        <f>AVERAGE(E254:P254)</f>
        <v>19.504455999999998</v>
      </c>
      <c r="AF254" s="1">
        <f>AVERAGE(X254:AD254)</f>
        <v>20.64</v>
      </c>
      <c r="AG254" s="1">
        <f>AVERAGE(AE254:AF254)</f>
        <v>20.072227999999999</v>
      </c>
      <c r="AH254" s="1">
        <v>12</v>
      </c>
      <c r="AI254" s="1">
        <v>15</v>
      </c>
      <c r="AJ254" s="1"/>
      <c r="AK254" s="1"/>
      <c r="AL254" s="1">
        <v>13.5</v>
      </c>
      <c r="AM254" s="1"/>
      <c r="AN254" s="1"/>
      <c r="AO254" s="1"/>
      <c r="AP254" s="1"/>
      <c r="AQ254" s="1">
        <f>AVERAGE(AH254:AK254)</f>
        <v>13.5</v>
      </c>
      <c r="AR254" s="1"/>
      <c r="AS254" s="12">
        <f>AVERAGE(AN254:AQ254)</f>
        <v>13.5</v>
      </c>
      <c r="AT254" s="1"/>
      <c r="AU254" s="1"/>
      <c r="AV254" s="1"/>
      <c r="AW254" s="1"/>
      <c r="AX254" s="1"/>
      <c r="AY254" s="1"/>
      <c r="AZ254" s="1">
        <v>5.0999999999999996</v>
      </c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>
        <f>AVERAGE(AV254:BI254)</f>
        <v>5.0999999999999996</v>
      </c>
      <c r="BN254" s="12">
        <f>AVERAGE(AT254:BK254)</f>
        <v>5.0999999999999996</v>
      </c>
      <c r="BO254" s="1"/>
      <c r="BP254" s="1"/>
      <c r="BQ254" s="1"/>
      <c r="BR254" s="1">
        <v>360.5</v>
      </c>
      <c r="BS254" s="1"/>
      <c r="BT254" s="1"/>
      <c r="BU254" s="1"/>
      <c r="BV254" s="1">
        <v>363</v>
      </c>
      <c r="BW254" s="1">
        <v>358</v>
      </c>
      <c r="BX254" s="1"/>
      <c r="BY254" s="1">
        <f>AVERAGE(BR254:BU254)</f>
        <v>360.5</v>
      </c>
      <c r="BZ254" s="1">
        <f>BY254/1000</f>
        <v>0.36049999999999999</v>
      </c>
      <c r="CA254" s="1">
        <f>AVERAGE(BQ254:BU254)</f>
        <v>360.5</v>
      </c>
      <c r="CB254" s="12">
        <f>CA254/1000</f>
        <v>0.36049999999999999</v>
      </c>
      <c r="CC254" s="13">
        <f t="shared" si="79"/>
        <v>1.8385499999999999</v>
      </c>
      <c r="CD254" s="6"/>
      <c r="CE254" s="6"/>
      <c r="CF254" s="6"/>
      <c r="CG254" s="6"/>
      <c r="CH254" s="6"/>
      <c r="CI254" s="6"/>
      <c r="CJ254" s="13">
        <f>((Q254-CB254)/CB254)*100</f>
        <v>5310.3900138696272</v>
      </c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</row>
    <row r="255" spans="1:160" x14ac:dyDescent="0.3">
      <c r="A255" s="6" t="s">
        <v>305</v>
      </c>
      <c r="B255" s="10" t="s">
        <v>305</v>
      </c>
      <c r="C255" s="10" t="s">
        <v>472</v>
      </c>
      <c r="D255" s="6" t="s">
        <v>472</v>
      </c>
      <c r="E255" s="7"/>
      <c r="F255" s="7"/>
      <c r="G255" s="7"/>
      <c r="H255" s="7"/>
      <c r="I255" s="1"/>
      <c r="J255" s="1"/>
      <c r="K255" s="1"/>
      <c r="L255" s="1"/>
      <c r="M255" s="1"/>
      <c r="N255" s="1"/>
      <c r="O255" s="1"/>
      <c r="P255" s="1"/>
      <c r="Q255" s="12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2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2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2"/>
      <c r="CC255" s="13">
        <f t="shared" si="79"/>
        <v>0</v>
      </c>
      <c r="CD255" s="6"/>
      <c r="CE255" s="6"/>
      <c r="CF255" s="6"/>
      <c r="CG255" s="6"/>
      <c r="CH255" s="6"/>
      <c r="CI255" s="6"/>
      <c r="CJ255" s="13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</row>
    <row r="256" spans="1:160" x14ac:dyDescent="0.3">
      <c r="A256" s="6" t="s">
        <v>305</v>
      </c>
      <c r="B256" s="10" t="s">
        <v>305</v>
      </c>
      <c r="C256" s="10" t="s">
        <v>473</v>
      </c>
      <c r="D256" s="6" t="s">
        <v>474</v>
      </c>
      <c r="E256" s="7"/>
      <c r="F256" s="7"/>
      <c r="G256" s="7"/>
      <c r="H256" s="7"/>
      <c r="I256" s="1"/>
      <c r="J256" s="1"/>
      <c r="K256" s="1"/>
      <c r="L256" s="1"/>
      <c r="M256" s="1"/>
      <c r="N256" s="1"/>
      <c r="O256" s="1"/>
      <c r="P256" s="1"/>
      <c r="Q256" s="12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2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2"/>
      <c r="CC256" s="13">
        <f t="shared" si="79"/>
        <v>0</v>
      </c>
      <c r="CD256" s="6"/>
      <c r="CE256" s="6"/>
      <c r="CF256" s="6"/>
      <c r="CG256" s="6"/>
      <c r="CH256" s="6"/>
      <c r="CI256" s="6"/>
      <c r="CJ256" s="13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</row>
    <row r="257" spans="1:160" x14ac:dyDescent="0.3">
      <c r="A257" s="6" t="s">
        <v>305</v>
      </c>
      <c r="B257" s="10" t="s">
        <v>305</v>
      </c>
      <c r="C257" s="10" t="s">
        <v>475</v>
      </c>
      <c r="D257" s="6" t="s">
        <v>476</v>
      </c>
      <c r="E257" s="7">
        <v>18.14368</v>
      </c>
      <c r="F257" s="7">
        <v>24.947559999999999</v>
      </c>
      <c r="G257" s="7"/>
      <c r="H257" s="7"/>
      <c r="I257" s="1"/>
      <c r="J257" s="1"/>
      <c r="K257" s="1"/>
      <c r="L257" s="1"/>
      <c r="M257" s="1"/>
      <c r="N257" s="1"/>
      <c r="O257" s="1"/>
      <c r="P257" s="1"/>
      <c r="Q257" s="12">
        <v>21.54562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>
        <f>AVERAGE(E257:P257)</f>
        <v>21.54562</v>
      </c>
      <c r="AF257" s="1"/>
      <c r="AG257" s="1">
        <f>AVERAGE(AE257:AF257)</f>
        <v>21.54562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2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2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2"/>
      <c r="CC257" s="13">
        <f t="shared" si="79"/>
        <v>0</v>
      </c>
      <c r="CD257" s="6"/>
      <c r="CE257" s="6"/>
      <c r="CF257" s="6"/>
      <c r="CG257" s="6"/>
      <c r="CH257" s="6"/>
      <c r="CI257" s="6"/>
      <c r="CJ257" s="13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</row>
    <row r="258" spans="1:160" x14ac:dyDescent="0.3">
      <c r="A258" s="6" t="s">
        <v>305</v>
      </c>
      <c r="B258" s="10" t="s">
        <v>305</v>
      </c>
      <c r="C258" s="10" t="s">
        <v>477</v>
      </c>
      <c r="D258" s="6" t="s">
        <v>477</v>
      </c>
      <c r="E258" s="7">
        <v>22.679600000000001</v>
      </c>
      <c r="F258" s="7">
        <v>27.215520000000001</v>
      </c>
      <c r="G258" s="7"/>
      <c r="H258" s="7"/>
      <c r="I258" s="1"/>
      <c r="J258" s="1"/>
      <c r="K258" s="1"/>
      <c r="L258" s="1"/>
      <c r="M258" s="1"/>
      <c r="N258" s="1"/>
      <c r="O258" s="1"/>
      <c r="P258" s="1"/>
      <c r="Q258" s="12">
        <v>24.947559999999999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>
        <f>AVERAGE(E258:P258)</f>
        <v>24.947560000000003</v>
      </c>
      <c r="AF258" s="1"/>
      <c r="AG258" s="1">
        <f>AVERAGE(AE258:AF258)</f>
        <v>24.947560000000003</v>
      </c>
      <c r="AH258" s="1">
        <v>10</v>
      </c>
      <c r="AI258" s="1">
        <v>12</v>
      </c>
      <c r="AJ258" s="1"/>
      <c r="AK258" s="1"/>
      <c r="AL258" s="1">
        <v>11</v>
      </c>
      <c r="AM258" s="1"/>
      <c r="AN258" s="1"/>
      <c r="AO258" s="1"/>
      <c r="AP258" s="1"/>
      <c r="AQ258" s="1">
        <f>AVERAGE(AH258:AK258)</f>
        <v>11</v>
      </c>
      <c r="AR258" s="1"/>
      <c r="AS258" s="12">
        <f>AVERAGE(AN258:AQ258)</f>
        <v>11</v>
      </c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2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2"/>
      <c r="CC258" s="13">
        <f t="shared" si="79"/>
        <v>0</v>
      </c>
      <c r="CD258" s="6"/>
      <c r="CE258" s="6"/>
      <c r="CF258" s="6"/>
      <c r="CG258" s="6"/>
      <c r="CH258" s="6"/>
      <c r="CI258" s="6"/>
      <c r="CJ258" s="13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</row>
    <row r="259" spans="1:160" x14ac:dyDescent="0.3">
      <c r="A259" s="6" t="s">
        <v>305</v>
      </c>
      <c r="B259" s="10" t="s">
        <v>305</v>
      </c>
      <c r="C259" s="10" t="s">
        <v>478</v>
      </c>
      <c r="D259" s="6" t="s">
        <v>478</v>
      </c>
      <c r="E259" s="7"/>
      <c r="F259" s="7"/>
      <c r="G259" s="7"/>
      <c r="H259" s="7"/>
      <c r="I259" s="1"/>
      <c r="J259" s="1"/>
      <c r="K259" s="1"/>
      <c r="L259" s="1"/>
      <c r="M259" s="1"/>
      <c r="N259" s="1"/>
      <c r="O259" s="1"/>
      <c r="P259" s="1"/>
      <c r="Q259" s="12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2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2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2"/>
      <c r="CC259" s="13">
        <f t="shared" si="79"/>
        <v>0</v>
      </c>
      <c r="CD259" s="6"/>
      <c r="CE259" s="6"/>
      <c r="CF259" s="6"/>
      <c r="CG259" s="6"/>
      <c r="CH259" s="6"/>
      <c r="CI259" s="6"/>
      <c r="CJ259" s="13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</row>
    <row r="260" spans="1:160" x14ac:dyDescent="0.3">
      <c r="A260" s="6" t="s">
        <v>305</v>
      </c>
      <c r="B260" s="10" t="s">
        <v>305</v>
      </c>
      <c r="C260" s="10" t="s">
        <v>479</v>
      </c>
      <c r="D260" s="6" t="s">
        <v>480</v>
      </c>
      <c r="E260" s="7">
        <v>15.875719999999999</v>
      </c>
      <c r="F260" s="7">
        <v>29.48348</v>
      </c>
      <c r="G260" s="7"/>
      <c r="H260" s="7"/>
      <c r="I260" s="1"/>
      <c r="J260" s="1"/>
      <c r="K260" s="1"/>
      <c r="L260" s="1"/>
      <c r="M260" s="1"/>
      <c r="N260" s="1"/>
      <c r="O260" s="1"/>
      <c r="P260" s="1"/>
      <c r="Q260" s="12">
        <v>22.679600000000001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>
        <f>AVERAGE(E260:P260)</f>
        <v>22.679600000000001</v>
      </c>
      <c r="AF260" s="1"/>
      <c r="AG260" s="1">
        <f>AVERAGE(AE260:AF260)</f>
        <v>22.679600000000001</v>
      </c>
      <c r="AH260" s="1">
        <v>12</v>
      </c>
      <c r="AI260" s="1">
        <v>14</v>
      </c>
      <c r="AJ260" s="1"/>
      <c r="AK260" s="1"/>
      <c r="AL260" s="1">
        <v>13</v>
      </c>
      <c r="AM260" s="1"/>
      <c r="AN260" s="1"/>
      <c r="AO260" s="1"/>
      <c r="AP260" s="1"/>
      <c r="AQ260" s="1">
        <f>AVERAGE(AH260:AK260)</f>
        <v>13</v>
      </c>
      <c r="AR260" s="1"/>
      <c r="AS260" s="12">
        <f>AVERAGE(AN260:AQ260)</f>
        <v>13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2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2"/>
      <c r="CC260" s="13">
        <f t="shared" si="79"/>
        <v>0</v>
      </c>
      <c r="CD260" s="6"/>
      <c r="CE260" s="6"/>
      <c r="CF260" s="6"/>
      <c r="CG260" s="6"/>
      <c r="CH260" s="6"/>
      <c r="CI260" s="6"/>
      <c r="CJ260" s="13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</row>
    <row r="261" spans="1:160" x14ac:dyDescent="0.3">
      <c r="A261" s="6" t="s">
        <v>305</v>
      </c>
      <c r="B261" s="10" t="s">
        <v>305</v>
      </c>
      <c r="C261" s="10" t="s">
        <v>481</v>
      </c>
      <c r="D261" s="6" t="s">
        <v>481</v>
      </c>
      <c r="E261" s="7"/>
      <c r="F261" s="7"/>
      <c r="G261" s="7"/>
      <c r="H261" s="7"/>
      <c r="I261" s="1"/>
      <c r="J261" s="1"/>
      <c r="K261" s="1"/>
      <c r="L261" s="1"/>
      <c r="M261" s="1"/>
      <c r="N261" s="1"/>
      <c r="O261" s="1"/>
      <c r="P261" s="1"/>
      <c r="Q261" s="12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2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2"/>
      <c r="CC261" s="13">
        <f t="shared" si="79"/>
        <v>0</v>
      </c>
      <c r="CD261" s="6"/>
      <c r="CE261" s="6"/>
      <c r="CF261" s="6"/>
      <c r="CG261" s="6"/>
      <c r="CH261" s="6"/>
      <c r="CI261" s="6"/>
      <c r="CJ261" s="13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</row>
    <row r="262" spans="1:160" x14ac:dyDescent="0.3">
      <c r="A262" s="6" t="s">
        <v>305</v>
      </c>
      <c r="B262" s="10" t="s">
        <v>305</v>
      </c>
      <c r="C262" s="10" t="s">
        <v>482</v>
      </c>
      <c r="D262" s="6" t="s">
        <v>482</v>
      </c>
      <c r="E262" s="7"/>
      <c r="F262" s="7"/>
      <c r="G262" s="7"/>
      <c r="H262" s="7"/>
      <c r="I262" s="1"/>
      <c r="J262" s="1"/>
      <c r="K262" s="1"/>
      <c r="L262" s="1"/>
      <c r="M262" s="1"/>
      <c r="N262" s="1"/>
      <c r="O262" s="1"/>
      <c r="P262" s="1"/>
      <c r="Q262" s="12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2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2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2"/>
      <c r="CC262" s="13">
        <f t="shared" si="79"/>
        <v>0</v>
      </c>
      <c r="CD262" s="6"/>
      <c r="CE262" s="6"/>
      <c r="CF262" s="6"/>
      <c r="CG262" s="6"/>
      <c r="CH262" s="6"/>
      <c r="CI262" s="6"/>
      <c r="CJ262" s="13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</row>
    <row r="263" spans="1:160" x14ac:dyDescent="0.3">
      <c r="A263" s="6" t="s">
        <v>305</v>
      </c>
      <c r="B263" s="10" t="s">
        <v>305</v>
      </c>
      <c r="C263" s="10" t="s">
        <v>483</v>
      </c>
      <c r="D263" s="6" t="s">
        <v>483</v>
      </c>
      <c r="E263" s="7"/>
      <c r="F263" s="7"/>
      <c r="G263" s="7"/>
      <c r="H263" s="7"/>
      <c r="I263" s="1"/>
      <c r="J263" s="1"/>
      <c r="K263" s="1"/>
      <c r="L263" s="1"/>
      <c r="M263" s="1"/>
      <c r="N263" s="1"/>
      <c r="O263" s="1"/>
      <c r="P263" s="1"/>
      <c r="Q263" s="12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2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2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2"/>
      <c r="CC263" s="13">
        <f t="shared" si="79"/>
        <v>0</v>
      </c>
      <c r="CD263" s="6"/>
      <c r="CE263" s="6"/>
      <c r="CF263" s="6"/>
      <c r="CG263" s="6"/>
      <c r="CH263" s="6"/>
      <c r="CI263" s="6"/>
      <c r="CJ263" s="13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</row>
    <row r="264" spans="1:160" x14ac:dyDescent="0.3">
      <c r="A264" s="6" t="s">
        <v>305</v>
      </c>
      <c r="B264" s="10" t="s">
        <v>305</v>
      </c>
      <c r="C264" s="10" t="s">
        <v>484</v>
      </c>
      <c r="D264" s="6" t="s">
        <v>485</v>
      </c>
      <c r="E264" s="7"/>
      <c r="F264" s="7"/>
      <c r="G264" s="7"/>
      <c r="H264" s="7"/>
      <c r="I264" s="1"/>
      <c r="J264" s="1"/>
      <c r="K264" s="1"/>
      <c r="L264" s="1"/>
      <c r="M264" s="1"/>
      <c r="N264" s="1"/>
      <c r="O264" s="1"/>
      <c r="P264" s="1"/>
      <c r="Q264" s="12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2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2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2"/>
      <c r="CC264" s="13">
        <f t="shared" si="79"/>
        <v>0</v>
      </c>
      <c r="CD264" s="6"/>
      <c r="CE264" s="6"/>
      <c r="CF264" s="6"/>
      <c r="CG264" s="6"/>
      <c r="CH264" s="6"/>
      <c r="CI264" s="6"/>
      <c r="CJ264" s="13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</row>
    <row r="265" spans="1:160" x14ac:dyDescent="0.3">
      <c r="A265" s="6" t="s">
        <v>305</v>
      </c>
      <c r="B265" s="10" t="s">
        <v>305</v>
      </c>
      <c r="C265" s="10" t="s">
        <v>486</v>
      </c>
      <c r="D265" s="6" t="s">
        <v>486</v>
      </c>
      <c r="E265" s="7"/>
      <c r="F265" s="7"/>
      <c r="G265" s="7"/>
      <c r="H265" s="7"/>
      <c r="I265" s="1"/>
      <c r="J265" s="1"/>
      <c r="K265" s="1"/>
      <c r="L265" s="1"/>
      <c r="M265" s="1"/>
      <c r="N265" s="1"/>
      <c r="O265" s="1"/>
      <c r="P265" s="1"/>
      <c r="Q265" s="12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2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2"/>
      <c r="CC265" s="13">
        <f t="shared" si="79"/>
        <v>0</v>
      </c>
      <c r="CD265" s="6"/>
      <c r="CE265" s="6"/>
      <c r="CF265" s="6"/>
      <c r="CG265" s="6"/>
      <c r="CH265" s="6"/>
      <c r="CI265" s="6"/>
      <c r="CJ265" s="13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</row>
    <row r="266" spans="1:160" x14ac:dyDescent="0.3">
      <c r="A266" s="6" t="s">
        <v>305</v>
      </c>
      <c r="B266" s="10" t="s">
        <v>305</v>
      </c>
      <c r="C266" s="10" t="s">
        <v>487</v>
      </c>
      <c r="D266" s="6" t="s">
        <v>487</v>
      </c>
      <c r="E266" s="7"/>
      <c r="F266" s="7"/>
      <c r="G266" s="7"/>
      <c r="H266" s="7"/>
      <c r="I266" s="1"/>
      <c r="J266" s="1"/>
      <c r="K266" s="1"/>
      <c r="L266" s="1"/>
      <c r="M266" s="1"/>
      <c r="N266" s="1"/>
      <c r="O266" s="1"/>
      <c r="P266" s="1"/>
      <c r="Q266" s="12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2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2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2"/>
      <c r="CC266" s="13">
        <f t="shared" si="79"/>
        <v>0</v>
      </c>
      <c r="CD266" s="6"/>
      <c r="CE266" s="6"/>
      <c r="CF266" s="6"/>
      <c r="CG266" s="6"/>
      <c r="CH266" s="6"/>
      <c r="CI266" s="6"/>
      <c r="CJ266" s="13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</row>
    <row r="267" spans="1:160" x14ac:dyDescent="0.3">
      <c r="A267" s="6" t="s">
        <v>305</v>
      </c>
      <c r="B267" s="10" t="s">
        <v>305</v>
      </c>
      <c r="C267" s="10" t="s">
        <v>488</v>
      </c>
      <c r="D267" s="6" t="s">
        <v>488</v>
      </c>
      <c r="E267" s="7"/>
      <c r="F267" s="7"/>
      <c r="G267" s="7"/>
      <c r="H267" s="7"/>
      <c r="I267" s="1"/>
      <c r="J267" s="1"/>
      <c r="K267" s="1"/>
      <c r="L267" s="1"/>
      <c r="M267" s="1"/>
      <c r="N267" s="1"/>
      <c r="O267" s="1"/>
      <c r="P267" s="1"/>
      <c r="Q267" s="12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2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>
        <f>BO267+BP267</f>
        <v>4.4000000000000004</v>
      </c>
      <c r="BJ267" s="1"/>
      <c r="BK267" s="1"/>
      <c r="BL267" s="1"/>
      <c r="BM267" s="1">
        <f>AVERAGE(AV267:BI267)</f>
        <v>4.4000000000000004</v>
      </c>
      <c r="BN267" s="12">
        <f>AVERAGE(AT267:BK267)</f>
        <v>4.4000000000000004</v>
      </c>
      <c r="BO267" s="1">
        <v>2.2200000000000002</v>
      </c>
      <c r="BP267" s="1">
        <v>2.1800000000000002</v>
      </c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2"/>
      <c r="CC267" s="13">
        <f t="shared" si="79"/>
        <v>0</v>
      </c>
      <c r="CD267" s="6"/>
      <c r="CE267" s="6"/>
      <c r="CF267" s="6"/>
      <c r="CG267" s="6"/>
      <c r="CH267" s="6"/>
      <c r="CI267" s="6"/>
      <c r="CJ267" s="13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</row>
    <row r="268" spans="1:160" x14ac:dyDescent="0.3">
      <c r="A268" s="6" t="s">
        <v>305</v>
      </c>
      <c r="B268" s="10" t="s">
        <v>305</v>
      </c>
      <c r="C268" s="10" t="s">
        <v>489</v>
      </c>
      <c r="D268" s="6" t="s">
        <v>489</v>
      </c>
      <c r="E268" s="7">
        <v>7.7110640000000004</v>
      </c>
      <c r="F268" s="7">
        <v>9.9790240000000008</v>
      </c>
      <c r="G268" s="7"/>
      <c r="H268" s="7"/>
      <c r="I268" s="1"/>
      <c r="J268" s="1"/>
      <c r="K268" s="1"/>
      <c r="L268" s="1"/>
      <c r="M268" s="1"/>
      <c r="N268" s="1"/>
      <c r="O268" s="1"/>
      <c r="P268" s="1"/>
      <c r="Q268" s="12">
        <v>8.8450439999999997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>
        <f>AVERAGE(E268:P268)</f>
        <v>8.8450440000000015</v>
      </c>
      <c r="AF268" s="1"/>
      <c r="AG268" s="1">
        <f>AVERAGE(AE268:AF268)</f>
        <v>8.8450440000000015</v>
      </c>
      <c r="AH268" s="1">
        <v>10</v>
      </c>
      <c r="AI268" s="1">
        <v>12</v>
      </c>
      <c r="AJ268" s="1"/>
      <c r="AK268" s="1"/>
      <c r="AL268" s="1">
        <v>11</v>
      </c>
      <c r="AM268" s="1"/>
      <c r="AN268" s="1"/>
      <c r="AO268" s="1"/>
      <c r="AP268" s="1"/>
      <c r="AQ268" s="1">
        <f>AVERAGE(AH268:AK268)</f>
        <v>11</v>
      </c>
      <c r="AR268" s="1"/>
      <c r="AS268" s="12">
        <f>AVERAGE(AN268:AQ268)</f>
        <v>11</v>
      </c>
      <c r="AT268" s="1"/>
      <c r="AU268" s="1"/>
      <c r="AV268" s="1"/>
      <c r="AW268" s="1"/>
      <c r="AX268" s="1"/>
      <c r="AY268" s="1"/>
      <c r="AZ268" s="1">
        <v>6.4</v>
      </c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>
        <f>AVERAGE(AV268:BI268)</f>
        <v>6.4</v>
      </c>
      <c r="BN268" s="12">
        <f>AVERAGE(AT268:BK268)</f>
        <v>6.4</v>
      </c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2"/>
      <c r="CC268" s="13">
        <f t="shared" si="79"/>
        <v>0</v>
      </c>
      <c r="CD268" s="6"/>
      <c r="CE268" s="6"/>
      <c r="CF268" s="6"/>
      <c r="CG268" s="6"/>
      <c r="CH268" s="6"/>
      <c r="CI268" s="6"/>
      <c r="CJ268" s="13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</row>
    <row r="269" spans="1:160" x14ac:dyDescent="0.3">
      <c r="A269" s="6" t="s">
        <v>305</v>
      </c>
      <c r="B269" s="10" t="s">
        <v>305</v>
      </c>
      <c r="C269" s="10" t="s">
        <v>490</v>
      </c>
      <c r="D269" s="6" t="s">
        <v>491</v>
      </c>
      <c r="E269" s="7">
        <v>24.947559999999999</v>
      </c>
      <c r="F269" s="7">
        <v>36.28736</v>
      </c>
      <c r="G269" s="7"/>
      <c r="H269" s="7"/>
      <c r="I269" s="1"/>
      <c r="J269" s="1"/>
      <c r="K269" s="1"/>
      <c r="L269" s="1"/>
      <c r="M269" s="1"/>
      <c r="N269" s="1"/>
      <c r="O269" s="1"/>
      <c r="P269" s="1"/>
      <c r="Q269" s="12">
        <v>30.617460000000001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>
        <f>AVERAGE(E269:P269)</f>
        <v>30.617460000000001</v>
      </c>
      <c r="AF269" s="1"/>
      <c r="AG269" s="1">
        <f>AVERAGE(AE269:AF269)</f>
        <v>30.617460000000001</v>
      </c>
      <c r="AH269" s="1">
        <v>12</v>
      </c>
      <c r="AI269" s="1">
        <v>14</v>
      </c>
      <c r="AJ269" s="1"/>
      <c r="AK269" s="1"/>
      <c r="AL269" s="1">
        <v>13</v>
      </c>
      <c r="AM269" s="1"/>
      <c r="AN269" s="1"/>
      <c r="AO269" s="1"/>
      <c r="AP269" s="1"/>
      <c r="AQ269" s="1">
        <f>AVERAGE(AH269:AK269)</f>
        <v>13</v>
      </c>
      <c r="AR269" s="1"/>
      <c r="AS269" s="12">
        <f>AVERAGE(AN269:AQ269)</f>
        <v>13</v>
      </c>
      <c r="AT269" s="1"/>
      <c r="AU269" s="1"/>
      <c r="AV269" s="1"/>
      <c r="AW269" s="1"/>
      <c r="AX269" s="1"/>
      <c r="AY269" s="1"/>
      <c r="AZ269" s="1">
        <v>7.8</v>
      </c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>
        <f>AVERAGE(AV269:BI269)</f>
        <v>7.8</v>
      </c>
      <c r="BN269" s="12">
        <f>AVERAGE(AT269:BK269)</f>
        <v>7.8</v>
      </c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2"/>
      <c r="CC269" s="13">
        <f t="shared" si="79"/>
        <v>0</v>
      </c>
      <c r="CD269" s="6"/>
      <c r="CE269" s="6"/>
      <c r="CF269" s="6"/>
      <c r="CG269" s="6"/>
      <c r="CH269" s="6"/>
      <c r="CI269" s="6"/>
      <c r="CJ269" s="13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</row>
    <row r="270" spans="1:160" x14ac:dyDescent="0.3">
      <c r="A270" s="6" t="s">
        <v>305</v>
      </c>
      <c r="B270" s="10" t="s">
        <v>305</v>
      </c>
      <c r="C270" s="10" t="s">
        <v>492</v>
      </c>
      <c r="D270" s="6" t="s">
        <v>492</v>
      </c>
      <c r="E270" s="7"/>
      <c r="F270" s="7"/>
      <c r="G270" s="7"/>
      <c r="H270" s="7"/>
      <c r="I270" s="1"/>
      <c r="J270" s="1"/>
      <c r="K270" s="1"/>
      <c r="L270" s="1"/>
      <c r="M270" s="1"/>
      <c r="N270" s="1"/>
      <c r="O270" s="1"/>
      <c r="P270" s="1"/>
      <c r="Q270" s="12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2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2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2"/>
      <c r="CC270" s="13">
        <f t="shared" si="79"/>
        <v>0</v>
      </c>
      <c r="CD270" s="6"/>
      <c r="CE270" s="6"/>
      <c r="CF270" s="6"/>
      <c r="CG270" s="6"/>
      <c r="CH270" s="6"/>
      <c r="CI270" s="6"/>
      <c r="CJ270" s="13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</row>
    <row r="271" spans="1:160" x14ac:dyDescent="0.3">
      <c r="A271" s="6" t="s">
        <v>305</v>
      </c>
      <c r="B271" s="10" t="s">
        <v>305</v>
      </c>
      <c r="C271" s="10" t="s">
        <v>493</v>
      </c>
      <c r="D271" s="6" t="s">
        <v>493</v>
      </c>
      <c r="E271" s="7">
        <v>18.14368</v>
      </c>
      <c r="F271" s="7">
        <v>24.947559999999999</v>
      </c>
      <c r="G271" s="7"/>
      <c r="H271" s="7"/>
      <c r="I271" s="1"/>
      <c r="J271" s="1"/>
      <c r="K271" s="1"/>
      <c r="L271" s="1"/>
      <c r="M271" s="1"/>
      <c r="N271" s="1"/>
      <c r="O271" s="1"/>
      <c r="P271" s="1"/>
      <c r="Q271" s="12">
        <v>21.54562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>
        <f>AVERAGE(E271:P271)</f>
        <v>21.54562</v>
      </c>
      <c r="AF271" s="1"/>
      <c r="AG271" s="1">
        <f>AVERAGE(AE271:AF271)</f>
        <v>21.54562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2"/>
      <c r="AT271" s="1"/>
      <c r="AU271" s="1"/>
      <c r="AV271" s="1"/>
      <c r="AW271" s="1"/>
      <c r="AX271" s="1"/>
      <c r="AY271" s="1"/>
      <c r="AZ271" s="1">
        <v>6</v>
      </c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>
        <f>AVERAGE(AV271:BI271)</f>
        <v>6</v>
      </c>
      <c r="BN271" s="12">
        <f>AVERAGE(AT271:BK271)</f>
        <v>6</v>
      </c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2"/>
      <c r="CC271" s="13">
        <f t="shared" si="79"/>
        <v>0</v>
      </c>
      <c r="CD271" s="6"/>
      <c r="CE271" s="6"/>
      <c r="CF271" s="6"/>
      <c r="CG271" s="6"/>
      <c r="CH271" s="6"/>
      <c r="CI271" s="6"/>
      <c r="CJ271" s="13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</row>
    <row r="272" spans="1:160" x14ac:dyDescent="0.3">
      <c r="A272" s="6" t="s">
        <v>305</v>
      </c>
      <c r="B272" s="10" t="s">
        <v>305</v>
      </c>
      <c r="C272" s="10" t="s">
        <v>494</v>
      </c>
      <c r="D272" s="6" t="s">
        <v>494</v>
      </c>
      <c r="E272" s="7">
        <v>10.886208</v>
      </c>
      <c r="F272" s="7">
        <v>11.793392000000001</v>
      </c>
      <c r="G272" s="7"/>
      <c r="H272" s="7"/>
      <c r="I272" s="1"/>
      <c r="J272" s="1"/>
      <c r="K272" s="1"/>
      <c r="L272" s="1"/>
      <c r="M272" s="1"/>
      <c r="N272" s="1"/>
      <c r="O272" s="1"/>
      <c r="P272" s="1"/>
      <c r="Q272" s="12">
        <v>11.3398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f>AVERAGE(E272:P272)</f>
        <v>11.3398</v>
      </c>
      <c r="AF272" s="1"/>
      <c r="AG272" s="1">
        <f>AVERAGE(AE272:AF272)</f>
        <v>11.3398</v>
      </c>
      <c r="AH272" s="1">
        <v>13</v>
      </c>
      <c r="AI272" s="1">
        <v>15</v>
      </c>
      <c r="AJ272" s="1"/>
      <c r="AK272" s="1"/>
      <c r="AL272" s="1">
        <v>14</v>
      </c>
      <c r="AM272" s="1"/>
      <c r="AN272" s="1"/>
      <c r="AO272" s="1"/>
      <c r="AP272" s="1"/>
      <c r="AQ272" s="1">
        <f>AVERAGE(AH272:AK272)</f>
        <v>14</v>
      </c>
      <c r="AR272" s="1"/>
      <c r="AS272" s="12">
        <f>AVERAGE(AN272:AQ272)</f>
        <v>14</v>
      </c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>
        <v>3.66</v>
      </c>
      <c r="BG272" s="1"/>
      <c r="BH272" s="1"/>
      <c r="BI272" s="1"/>
      <c r="BJ272" s="1"/>
      <c r="BK272" s="1"/>
      <c r="BL272" s="1"/>
      <c r="BM272" s="1">
        <f>AVERAGE(AV272:BI272)</f>
        <v>3.66</v>
      </c>
      <c r="BN272" s="12">
        <f>AVERAGE(AT272:BK272)</f>
        <v>3.66</v>
      </c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2"/>
      <c r="CC272" s="13">
        <f t="shared" si="79"/>
        <v>0</v>
      </c>
      <c r="CD272" s="6"/>
      <c r="CE272" s="6"/>
      <c r="CF272" s="6"/>
      <c r="CG272" s="6"/>
      <c r="CH272" s="6"/>
      <c r="CI272" s="6"/>
      <c r="CJ272" s="13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</row>
    <row r="273" spans="1:160" x14ac:dyDescent="0.3">
      <c r="A273" s="6" t="s">
        <v>305</v>
      </c>
      <c r="B273" s="10" t="s">
        <v>305</v>
      </c>
      <c r="C273" s="10" t="s">
        <v>495</v>
      </c>
      <c r="D273" s="6" t="s">
        <v>495</v>
      </c>
      <c r="E273" s="7"/>
      <c r="F273" s="7"/>
      <c r="G273" s="7"/>
      <c r="H273" s="7"/>
      <c r="I273" s="1"/>
      <c r="J273" s="1"/>
      <c r="K273" s="1"/>
      <c r="L273" s="1"/>
      <c r="M273" s="1"/>
      <c r="N273" s="1"/>
      <c r="O273" s="1"/>
      <c r="P273" s="1"/>
      <c r="Q273" s="12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2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2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2"/>
      <c r="CC273" s="13">
        <f t="shared" si="79"/>
        <v>0</v>
      </c>
      <c r="CD273" s="6"/>
      <c r="CE273" s="6"/>
      <c r="CF273" s="6"/>
      <c r="CG273" s="6"/>
      <c r="CH273" s="6"/>
      <c r="CI273" s="6"/>
      <c r="CJ273" s="13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</row>
    <row r="274" spans="1:160" x14ac:dyDescent="0.3">
      <c r="A274" s="6" t="s">
        <v>305</v>
      </c>
      <c r="B274" s="10" t="s">
        <v>305</v>
      </c>
      <c r="C274" s="10" t="s">
        <v>496</v>
      </c>
      <c r="D274" s="6" t="s">
        <v>496</v>
      </c>
      <c r="E274" s="7"/>
      <c r="F274" s="7"/>
      <c r="G274" s="7"/>
      <c r="H274" s="7"/>
      <c r="I274" s="1"/>
      <c r="J274" s="1"/>
      <c r="K274" s="1"/>
      <c r="L274" s="1"/>
      <c r="M274" s="1"/>
      <c r="N274" s="1"/>
      <c r="O274" s="1"/>
      <c r="P274" s="1"/>
      <c r="Q274" s="12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2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2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2"/>
      <c r="CC274" s="13">
        <f t="shared" si="79"/>
        <v>0</v>
      </c>
      <c r="CD274" s="6"/>
      <c r="CE274" s="6"/>
      <c r="CF274" s="6"/>
      <c r="CG274" s="6"/>
      <c r="CH274" s="6"/>
      <c r="CI274" s="6"/>
      <c r="CJ274" s="13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</row>
    <row r="275" spans="1:160" x14ac:dyDescent="0.3">
      <c r="A275" s="6" t="s">
        <v>305</v>
      </c>
      <c r="B275" s="10" t="s">
        <v>305</v>
      </c>
      <c r="C275" s="10" t="s">
        <v>497</v>
      </c>
      <c r="D275" s="6" t="s">
        <v>497</v>
      </c>
      <c r="E275" s="7"/>
      <c r="F275" s="7"/>
      <c r="G275" s="7"/>
      <c r="H275" s="7"/>
      <c r="I275" s="1"/>
      <c r="J275" s="1"/>
      <c r="K275" s="1"/>
      <c r="L275" s="1"/>
      <c r="M275" s="1"/>
      <c r="N275" s="1"/>
      <c r="O275" s="1"/>
      <c r="P275" s="1"/>
      <c r="Q275" s="12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2"/>
      <c r="AT275" s="1"/>
      <c r="AU275" s="1"/>
      <c r="AV275" s="1"/>
      <c r="AW275" s="1"/>
      <c r="AX275" s="1"/>
      <c r="AY275" s="1"/>
      <c r="AZ275" s="1">
        <v>3.5</v>
      </c>
      <c r="BA275" s="1"/>
      <c r="BB275" s="1"/>
      <c r="BC275" s="1"/>
      <c r="BD275" s="1"/>
      <c r="BE275" s="1">
        <v>3</v>
      </c>
      <c r="BF275" s="1"/>
      <c r="BG275" s="1"/>
      <c r="BH275" s="1"/>
      <c r="BI275" s="1"/>
      <c r="BJ275" s="1"/>
      <c r="BK275" s="1"/>
      <c r="BL275" s="1"/>
      <c r="BM275" s="1">
        <f>AVERAGE(AV275:BI275)</f>
        <v>3.25</v>
      </c>
      <c r="BN275" s="12">
        <f>AVERAGE(AT275:BK275)</f>
        <v>3.25</v>
      </c>
      <c r="BO275" s="1"/>
      <c r="BP275" s="1"/>
      <c r="BQ275" s="1"/>
      <c r="BR275" s="1"/>
      <c r="BS275" s="1"/>
      <c r="BT275" s="1">
        <v>125.5</v>
      </c>
      <c r="BU275" s="1"/>
      <c r="BV275" s="1"/>
      <c r="BW275" s="1"/>
      <c r="BX275" s="1"/>
      <c r="BY275" s="1">
        <f>AVERAGE(BR275:BU275)</f>
        <v>125.5</v>
      </c>
      <c r="BZ275" s="1">
        <f>BY275/1000</f>
        <v>0.1255</v>
      </c>
      <c r="CA275" s="1">
        <f>AVERAGE(BQ275:BU275)</f>
        <v>125.5</v>
      </c>
      <c r="CB275" s="12">
        <f>CA275/1000</f>
        <v>0.1255</v>
      </c>
      <c r="CC275" s="13">
        <f t="shared" si="79"/>
        <v>0.40787499999999999</v>
      </c>
      <c r="CD275" s="6"/>
      <c r="CE275" s="6"/>
      <c r="CF275" s="6"/>
      <c r="CG275" s="6"/>
      <c r="CH275" s="6"/>
      <c r="CI275" s="6"/>
      <c r="CJ275" s="13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</row>
    <row r="276" spans="1:160" x14ac:dyDescent="0.3">
      <c r="A276" s="6" t="s">
        <v>305</v>
      </c>
      <c r="B276" s="10" t="s">
        <v>305</v>
      </c>
      <c r="C276" s="10" t="s">
        <v>498</v>
      </c>
      <c r="D276" s="6" t="s">
        <v>498</v>
      </c>
      <c r="E276" s="7"/>
      <c r="F276" s="7"/>
      <c r="G276" s="7"/>
      <c r="H276" s="7"/>
      <c r="I276" s="1"/>
      <c r="J276" s="1"/>
      <c r="K276" s="1"/>
      <c r="L276" s="1"/>
      <c r="M276" s="1"/>
      <c r="N276" s="1"/>
      <c r="O276" s="1"/>
      <c r="P276" s="1"/>
      <c r="Q276" s="12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2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2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2"/>
      <c r="CC276" s="13">
        <f t="shared" si="79"/>
        <v>0</v>
      </c>
      <c r="CD276" s="6"/>
      <c r="CE276" s="6"/>
      <c r="CF276" s="6"/>
      <c r="CG276" s="6"/>
      <c r="CH276" s="6"/>
      <c r="CI276" s="6"/>
      <c r="CJ276" s="13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</row>
    <row r="277" spans="1:160" x14ac:dyDescent="0.3">
      <c r="A277" s="6" t="s">
        <v>305</v>
      </c>
      <c r="B277" s="10" t="s">
        <v>305</v>
      </c>
      <c r="C277" s="10" t="s">
        <v>499</v>
      </c>
      <c r="D277" s="6" t="s">
        <v>499</v>
      </c>
      <c r="E277" s="7"/>
      <c r="F277" s="7"/>
      <c r="G277" s="7"/>
      <c r="H277" s="7"/>
      <c r="I277" s="1"/>
      <c r="J277" s="1"/>
      <c r="K277" s="1"/>
      <c r="L277" s="1"/>
      <c r="M277" s="1"/>
      <c r="N277" s="1"/>
      <c r="O277" s="1"/>
      <c r="P277" s="1"/>
      <c r="Q277" s="12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2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2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2"/>
      <c r="CC277" s="13">
        <f t="shared" si="79"/>
        <v>0</v>
      </c>
      <c r="CD277" s="6"/>
      <c r="CE277" s="6"/>
      <c r="CF277" s="6"/>
      <c r="CG277" s="6"/>
      <c r="CH277" s="6"/>
      <c r="CI277" s="6"/>
      <c r="CJ277" s="13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</row>
    <row r="278" spans="1:160" x14ac:dyDescent="0.3">
      <c r="A278" s="6" t="s">
        <v>305</v>
      </c>
      <c r="B278" s="10" t="s">
        <v>305</v>
      </c>
      <c r="C278" s="10" t="s">
        <v>500</v>
      </c>
      <c r="D278" s="6" t="s">
        <v>500</v>
      </c>
      <c r="E278" s="7"/>
      <c r="F278" s="7"/>
      <c r="G278" s="7"/>
      <c r="H278" s="7"/>
      <c r="I278" s="1"/>
      <c r="J278" s="1"/>
      <c r="K278" s="1"/>
      <c r="L278" s="1"/>
      <c r="M278" s="1"/>
      <c r="N278" s="1"/>
      <c r="O278" s="1"/>
      <c r="P278" s="1"/>
      <c r="Q278" s="12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2"/>
      <c r="AT278" s="1"/>
      <c r="AU278" s="1"/>
      <c r="AV278" s="1"/>
      <c r="AW278" s="1"/>
      <c r="AX278" s="1"/>
      <c r="AY278" s="1"/>
      <c r="AZ278" s="1">
        <v>3.7</v>
      </c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>
        <f>AVERAGE(AV278:BI278)</f>
        <v>3.7</v>
      </c>
      <c r="BN278" s="12">
        <f>AVERAGE(AT278:BK278)</f>
        <v>3.7</v>
      </c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2"/>
      <c r="CC278" s="13">
        <f t="shared" si="79"/>
        <v>0</v>
      </c>
      <c r="CD278" s="6"/>
      <c r="CE278" s="6"/>
      <c r="CF278" s="6"/>
      <c r="CG278" s="6"/>
      <c r="CH278" s="6"/>
      <c r="CI278" s="6"/>
      <c r="CJ278" s="13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</row>
    <row r="279" spans="1:160" x14ac:dyDescent="0.3">
      <c r="A279" s="6" t="s">
        <v>305</v>
      </c>
      <c r="B279" s="10" t="s">
        <v>305</v>
      </c>
      <c r="C279" s="10" t="s">
        <v>501</v>
      </c>
      <c r="D279" s="6" t="s">
        <v>501</v>
      </c>
      <c r="E279" s="7"/>
      <c r="F279" s="7"/>
      <c r="G279" s="7"/>
      <c r="H279" s="7"/>
      <c r="I279" s="1"/>
      <c r="J279" s="1"/>
      <c r="K279" s="1"/>
      <c r="L279" s="1"/>
      <c r="M279" s="1"/>
      <c r="N279" s="1"/>
      <c r="O279" s="1"/>
      <c r="P279" s="1"/>
      <c r="Q279" s="12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2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2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2"/>
      <c r="CC279" s="13">
        <f t="shared" si="79"/>
        <v>0</v>
      </c>
      <c r="CD279" s="6"/>
      <c r="CE279" s="6"/>
      <c r="CF279" s="6"/>
      <c r="CG279" s="6"/>
      <c r="CH279" s="6"/>
      <c r="CI279" s="6"/>
      <c r="CJ279" s="13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</row>
    <row r="280" spans="1:160" x14ac:dyDescent="0.3">
      <c r="A280" s="6" t="s">
        <v>305</v>
      </c>
      <c r="B280" s="10" t="s">
        <v>305</v>
      </c>
      <c r="C280" s="10" t="s">
        <v>502</v>
      </c>
      <c r="D280" s="6" t="s">
        <v>502</v>
      </c>
      <c r="E280" s="7"/>
      <c r="F280" s="7"/>
      <c r="G280" s="7"/>
      <c r="H280" s="7"/>
      <c r="I280" s="1"/>
      <c r="J280" s="1"/>
      <c r="K280" s="1"/>
      <c r="L280" s="1"/>
      <c r="M280" s="1"/>
      <c r="N280" s="1"/>
      <c r="O280" s="1"/>
      <c r="P280" s="1"/>
      <c r="Q280" s="12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2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2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2"/>
      <c r="CC280" s="13">
        <f t="shared" si="79"/>
        <v>0</v>
      </c>
      <c r="CD280" s="6"/>
      <c r="CE280" s="6"/>
      <c r="CF280" s="6"/>
      <c r="CG280" s="6"/>
      <c r="CH280" s="6"/>
      <c r="CI280" s="6"/>
      <c r="CJ280" s="13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</row>
    <row r="281" spans="1:160" x14ac:dyDescent="0.3">
      <c r="A281" s="6" t="s">
        <v>305</v>
      </c>
      <c r="B281" s="10" t="s">
        <v>305</v>
      </c>
      <c r="C281" s="10" t="s">
        <v>503</v>
      </c>
      <c r="D281" s="6" t="s">
        <v>503</v>
      </c>
      <c r="E281" s="7"/>
      <c r="F281" s="7"/>
      <c r="G281" s="7"/>
      <c r="H281" s="7"/>
      <c r="I281" s="1"/>
      <c r="J281" s="1"/>
      <c r="K281" s="1"/>
      <c r="L281" s="1"/>
      <c r="M281" s="1"/>
      <c r="N281" s="1"/>
      <c r="O281" s="1"/>
      <c r="P281" s="1"/>
      <c r="Q281" s="12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2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2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2"/>
      <c r="CC281" s="13">
        <f t="shared" si="79"/>
        <v>0</v>
      </c>
      <c r="CD281" s="6"/>
      <c r="CE281" s="6"/>
      <c r="CF281" s="6"/>
      <c r="CG281" s="6"/>
      <c r="CH281" s="6"/>
      <c r="CI281" s="6"/>
      <c r="CJ281" s="13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</row>
    <row r="282" spans="1:160" s="3" customFormat="1" x14ac:dyDescent="0.3">
      <c r="A282" s="6" t="s">
        <v>305</v>
      </c>
      <c r="B282" s="10" t="s">
        <v>305</v>
      </c>
      <c r="C282" s="10" t="s">
        <v>504</v>
      </c>
      <c r="D282" s="6" t="s">
        <v>504</v>
      </c>
      <c r="E282" s="7"/>
      <c r="F282" s="7"/>
      <c r="G282" s="7"/>
      <c r="H282" s="7"/>
      <c r="I282" s="1"/>
      <c r="J282" s="1"/>
      <c r="K282" s="1"/>
      <c r="L282" s="1"/>
      <c r="M282" s="1"/>
      <c r="N282" s="1"/>
      <c r="O282" s="1"/>
      <c r="P282" s="1"/>
      <c r="Q282" s="12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2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2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2"/>
      <c r="CC282" s="13">
        <f t="shared" si="79"/>
        <v>0</v>
      </c>
      <c r="CD282" s="6"/>
      <c r="CE282" s="6"/>
      <c r="CF282" s="6"/>
      <c r="CG282" s="6"/>
      <c r="CH282" s="6"/>
      <c r="CI282" s="6"/>
      <c r="CJ282" s="13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</row>
    <row r="283" spans="1:160" s="3" customFormat="1" x14ac:dyDescent="0.3">
      <c r="A283" s="6" t="s">
        <v>305</v>
      </c>
      <c r="B283" s="10" t="s">
        <v>305</v>
      </c>
      <c r="C283" s="10" t="s">
        <v>505</v>
      </c>
      <c r="D283" s="6" t="s">
        <v>505</v>
      </c>
      <c r="E283" s="7"/>
      <c r="F283" s="7"/>
      <c r="G283" s="7"/>
      <c r="H283" s="7"/>
      <c r="I283" s="1"/>
      <c r="J283" s="1"/>
      <c r="K283" s="1"/>
      <c r="L283" s="1"/>
      <c r="M283" s="1"/>
      <c r="N283" s="1"/>
      <c r="O283" s="1"/>
      <c r="P283" s="1"/>
      <c r="Q283" s="12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2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2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2"/>
      <c r="CC283" s="13">
        <f t="shared" si="79"/>
        <v>0</v>
      </c>
      <c r="CD283" s="6"/>
      <c r="CE283" s="6"/>
      <c r="CF283" s="6"/>
      <c r="CG283" s="6"/>
      <c r="CH283" s="6"/>
      <c r="CI283" s="6"/>
      <c r="CJ283" s="13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</row>
    <row r="284" spans="1:160" x14ac:dyDescent="0.3">
      <c r="A284" s="6" t="s">
        <v>305</v>
      </c>
      <c r="B284" s="10" t="s">
        <v>305</v>
      </c>
      <c r="C284" s="10" t="s">
        <v>506</v>
      </c>
      <c r="D284" s="6" t="s">
        <v>506</v>
      </c>
      <c r="E284" s="7"/>
      <c r="F284" s="7"/>
      <c r="G284" s="7"/>
      <c r="H284" s="7"/>
      <c r="I284" s="1"/>
      <c r="J284" s="1"/>
      <c r="K284" s="1"/>
      <c r="L284" s="1"/>
      <c r="M284" s="1"/>
      <c r="N284" s="1"/>
      <c r="O284" s="1"/>
      <c r="P284" s="1"/>
      <c r="Q284" s="12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2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2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2"/>
      <c r="CC284" s="13">
        <f t="shared" si="79"/>
        <v>0</v>
      </c>
      <c r="CD284" s="6"/>
      <c r="CE284" s="6"/>
      <c r="CF284" s="6"/>
      <c r="CG284" s="6"/>
      <c r="CH284" s="6"/>
      <c r="CI284" s="6"/>
      <c r="CJ284" s="13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</row>
    <row r="285" spans="1:160" x14ac:dyDescent="0.3">
      <c r="A285" s="6" t="s">
        <v>305</v>
      </c>
      <c r="B285" s="10" t="s">
        <v>305</v>
      </c>
      <c r="C285" s="10" t="s">
        <v>507</v>
      </c>
      <c r="D285" s="6" t="s">
        <v>507</v>
      </c>
      <c r="E285" s="7"/>
      <c r="F285" s="7"/>
      <c r="G285" s="7"/>
      <c r="H285" s="7"/>
      <c r="I285" s="1"/>
      <c r="J285" s="1"/>
      <c r="K285" s="1"/>
      <c r="L285" s="1"/>
      <c r="M285" s="1"/>
      <c r="N285" s="1"/>
      <c r="O285" s="1"/>
      <c r="P285" s="1"/>
      <c r="Q285" s="12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2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2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2"/>
      <c r="CC285" s="13">
        <f t="shared" si="79"/>
        <v>0</v>
      </c>
      <c r="CD285" s="6"/>
      <c r="CE285" s="6"/>
      <c r="CF285" s="6"/>
      <c r="CG285" s="6"/>
      <c r="CH285" s="6"/>
      <c r="CI285" s="6"/>
      <c r="CJ285" s="13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</row>
    <row r="286" spans="1:160" x14ac:dyDescent="0.3">
      <c r="A286" s="6" t="s">
        <v>305</v>
      </c>
      <c r="B286" s="10" t="s">
        <v>305</v>
      </c>
      <c r="C286" s="10" t="s">
        <v>508</v>
      </c>
      <c r="D286" s="6" t="s">
        <v>508</v>
      </c>
      <c r="E286" s="7"/>
      <c r="F286" s="7"/>
      <c r="G286" s="7"/>
      <c r="H286" s="7"/>
      <c r="I286" s="1"/>
      <c r="J286" s="1"/>
      <c r="K286" s="1"/>
      <c r="L286" s="1"/>
      <c r="M286" s="1"/>
      <c r="N286" s="1"/>
      <c r="O286" s="1"/>
      <c r="P286" s="1"/>
      <c r="Q286" s="12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2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2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2"/>
      <c r="CC286" s="13">
        <f t="shared" si="79"/>
        <v>0</v>
      </c>
      <c r="CD286" s="6"/>
      <c r="CE286" s="6"/>
      <c r="CF286" s="6"/>
      <c r="CG286" s="6"/>
      <c r="CH286" s="6"/>
      <c r="CI286" s="6"/>
      <c r="CJ286" s="13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</row>
    <row r="287" spans="1:160" x14ac:dyDescent="0.3">
      <c r="A287" s="6" t="s">
        <v>305</v>
      </c>
      <c r="B287" s="10" t="s">
        <v>305</v>
      </c>
      <c r="C287" s="10" t="s">
        <v>509</v>
      </c>
      <c r="D287" s="6" t="s">
        <v>509</v>
      </c>
      <c r="E287" s="7"/>
      <c r="F287" s="7"/>
      <c r="G287" s="7"/>
      <c r="H287" s="7"/>
      <c r="I287" s="1"/>
      <c r="J287" s="1"/>
      <c r="K287" s="1"/>
      <c r="L287" s="1"/>
      <c r="M287" s="1"/>
      <c r="N287" s="1"/>
      <c r="O287" s="1"/>
      <c r="P287" s="1"/>
      <c r="Q287" s="12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2"/>
      <c r="AT287" s="1"/>
      <c r="AU287" s="1"/>
      <c r="AV287" s="1"/>
      <c r="AW287" s="1"/>
      <c r="AX287" s="1"/>
      <c r="AY287" s="1"/>
      <c r="AZ287" s="1">
        <v>6.1</v>
      </c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>
        <f>AVERAGE(AV287:BI287)</f>
        <v>6.1</v>
      </c>
      <c r="BN287" s="12">
        <f>AVERAGE(AT287:BK287)</f>
        <v>6.1</v>
      </c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2"/>
      <c r="CC287" s="13">
        <f t="shared" si="79"/>
        <v>0</v>
      </c>
      <c r="CD287" s="6"/>
      <c r="CE287" s="6"/>
      <c r="CF287" s="6"/>
      <c r="CG287" s="6"/>
      <c r="CH287" s="6"/>
      <c r="CI287" s="6"/>
      <c r="CJ287" s="13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</row>
    <row r="288" spans="1:160" x14ac:dyDescent="0.3">
      <c r="A288" s="6" t="s">
        <v>305</v>
      </c>
      <c r="B288" s="10" t="s">
        <v>305</v>
      </c>
      <c r="C288" s="10" t="s">
        <v>510</v>
      </c>
      <c r="D288" s="6" t="s">
        <v>511</v>
      </c>
      <c r="E288" s="7"/>
      <c r="F288" s="7"/>
      <c r="G288" s="7"/>
      <c r="H288" s="7"/>
      <c r="I288" s="1"/>
      <c r="J288" s="1"/>
      <c r="K288" s="1"/>
      <c r="L288" s="1"/>
      <c r="M288" s="1"/>
      <c r="N288" s="1"/>
      <c r="O288" s="1"/>
      <c r="P288" s="1"/>
      <c r="Q288" s="12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2"/>
      <c r="AT288" s="1"/>
      <c r="AU288" s="1"/>
      <c r="AV288" s="1"/>
      <c r="AW288" s="1"/>
      <c r="AX288" s="1"/>
      <c r="AY288" s="1"/>
      <c r="AZ288" s="1">
        <v>6</v>
      </c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>
        <f>AVERAGE(AV288:BI288)</f>
        <v>6</v>
      </c>
      <c r="BN288" s="12">
        <f>AVERAGE(AT288:BK288)</f>
        <v>6</v>
      </c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2"/>
      <c r="CC288" s="13">
        <f t="shared" si="79"/>
        <v>0</v>
      </c>
      <c r="CD288" s="6"/>
      <c r="CE288" s="6"/>
      <c r="CF288" s="6"/>
      <c r="CG288" s="6"/>
      <c r="CH288" s="6"/>
      <c r="CI288" s="6"/>
      <c r="CJ288" s="13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</row>
    <row r="289" spans="1:160" x14ac:dyDescent="0.3">
      <c r="A289" s="6" t="s">
        <v>305</v>
      </c>
      <c r="B289" s="10" t="s">
        <v>305</v>
      </c>
      <c r="C289" s="10" t="s">
        <v>512</v>
      </c>
      <c r="D289" s="6" t="s">
        <v>512</v>
      </c>
      <c r="E289" s="7">
        <v>18.14368</v>
      </c>
      <c r="F289" s="7">
        <v>34.019399999999997</v>
      </c>
      <c r="G289" s="7"/>
      <c r="H289" s="7"/>
      <c r="I289" s="1"/>
      <c r="J289" s="1"/>
      <c r="K289" s="1"/>
      <c r="L289" s="1"/>
      <c r="M289" s="1"/>
      <c r="N289" s="1"/>
      <c r="O289" s="1"/>
      <c r="P289" s="1"/>
      <c r="Q289" s="12">
        <v>26.08154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>
        <f>AVERAGE(E289:P289)</f>
        <v>26.081539999999997</v>
      </c>
      <c r="AF289" s="1"/>
      <c r="AG289" s="1">
        <f>AVERAGE(AE289:AF289)</f>
        <v>26.081539999999997</v>
      </c>
      <c r="AH289" s="1">
        <v>14</v>
      </c>
      <c r="AI289" s="1">
        <v>17</v>
      </c>
      <c r="AJ289" s="1"/>
      <c r="AK289" s="1"/>
      <c r="AL289" s="1">
        <v>15.5</v>
      </c>
      <c r="AM289" s="1"/>
      <c r="AN289" s="1"/>
      <c r="AO289" s="1"/>
      <c r="AP289" s="1"/>
      <c r="AQ289" s="1">
        <f>AVERAGE(AH289:AK289)</f>
        <v>15.5</v>
      </c>
      <c r="AR289" s="1"/>
      <c r="AS289" s="12">
        <f>AVERAGE(AN289:AQ289)</f>
        <v>15.5</v>
      </c>
      <c r="AT289" s="1"/>
      <c r="AU289" s="1"/>
      <c r="AV289" s="1"/>
      <c r="AW289" s="1"/>
      <c r="AX289" s="1"/>
      <c r="AY289" s="1"/>
      <c r="AZ289" s="1">
        <v>6.5</v>
      </c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>
        <f>AVERAGE(AV289:BI289)</f>
        <v>6.5</v>
      </c>
      <c r="BN289" s="12">
        <f>AVERAGE(AT289:BK289)</f>
        <v>6.5</v>
      </c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2"/>
      <c r="CC289" s="13">
        <f t="shared" si="79"/>
        <v>0</v>
      </c>
      <c r="CD289" s="6"/>
      <c r="CE289" s="6"/>
      <c r="CF289" s="6"/>
      <c r="CG289" s="6"/>
      <c r="CH289" s="6"/>
      <c r="CI289" s="6"/>
      <c r="CJ289" s="13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</row>
    <row r="290" spans="1:160" x14ac:dyDescent="0.3">
      <c r="A290" s="6" t="s">
        <v>305</v>
      </c>
      <c r="B290" s="10" t="s">
        <v>305</v>
      </c>
      <c r="C290" s="10" t="s">
        <v>513</v>
      </c>
      <c r="D290" s="6" t="s">
        <v>513</v>
      </c>
      <c r="E290" s="7">
        <v>35.833767999999999</v>
      </c>
      <c r="F290" s="7">
        <v>44.905608000000001</v>
      </c>
      <c r="G290" s="7"/>
      <c r="H290" s="7"/>
      <c r="I290" s="1"/>
      <c r="J290" s="1"/>
      <c r="K290" s="1"/>
      <c r="L290" s="1"/>
      <c r="M290" s="1"/>
      <c r="N290" s="1"/>
      <c r="O290" s="1"/>
      <c r="P290" s="1"/>
      <c r="Q290" s="12">
        <v>40.369687999999996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>
        <f>AVERAGE(E290:P290)</f>
        <v>40.369687999999996</v>
      </c>
      <c r="AF290" s="1"/>
      <c r="AG290" s="1">
        <f>AVERAGE(AE290:AF290)</f>
        <v>40.369687999999996</v>
      </c>
      <c r="AH290" s="1">
        <v>10</v>
      </c>
      <c r="AI290" s="1">
        <v>14</v>
      </c>
      <c r="AJ290" s="1"/>
      <c r="AK290" s="1"/>
      <c r="AL290" s="1">
        <v>12</v>
      </c>
      <c r="AM290" s="1"/>
      <c r="AN290" s="1"/>
      <c r="AO290" s="1"/>
      <c r="AP290" s="1"/>
      <c r="AQ290" s="1">
        <f>AVERAGE(AH290:AK290)</f>
        <v>12</v>
      </c>
      <c r="AR290" s="1"/>
      <c r="AS290" s="12">
        <f>AVERAGE(AN290:AQ290)</f>
        <v>12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2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2"/>
      <c r="CC290" s="13">
        <f t="shared" ref="CC290:CC353" si="80">CB290*BN290</f>
        <v>0</v>
      </c>
      <c r="CD290" s="6"/>
      <c r="CE290" s="6"/>
      <c r="CF290" s="6"/>
      <c r="CG290" s="6"/>
      <c r="CH290" s="6"/>
      <c r="CI290" s="6"/>
      <c r="CJ290" s="13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</row>
    <row r="291" spans="1:160" x14ac:dyDescent="0.3">
      <c r="A291" s="6" t="s">
        <v>305</v>
      </c>
      <c r="B291" s="10" t="s">
        <v>305</v>
      </c>
      <c r="C291" s="10" t="s">
        <v>514</v>
      </c>
      <c r="D291" s="6" t="s">
        <v>514</v>
      </c>
      <c r="E291" s="7">
        <v>20.411639999999998</v>
      </c>
      <c r="F291" s="7">
        <v>27.215520000000001</v>
      </c>
      <c r="G291" s="7">
        <v>16</v>
      </c>
      <c r="H291" s="7">
        <v>20</v>
      </c>
      <c r="I291" s="1"/>
      <c r="J291" s="1"/>
      <c r="K291" s="1"/>
      <c r="L291" s="1"/>
      <c r="M291" s="1"/>
      <c r="N291" s="1"/>
      <c r="O291" s="1"/>
      <c r="P291" s="1"/>
      <c r="Q291" s="12">
        <v>23.813580000000002</v>
      </c>
      <c r="R291" s="1"/>
      <c r="S291" s="1"/>
      <c r="T291" s="1">
        <v>18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>
        <f>AVERAGE(E291:P291)</f>
        <v>20.906790000000001</v>
      </c>
      <c r="AF291" s="1"/>
      <c r="AG291" s="1">
        <f>AVERAGE(AE291:AF291)</f>
        <v>20.906790000000001</v>
      </c>
      <c r="AH291" s="1">
        <v>12</v>
      </c>
      <c r="AI291" s="1">
        <v>15</v>
      </c>
      <c r="AJ291" s="1">
        <v>12</v>
      </c>
      <c r="AK291" s="1">
        <v>15</v>
      </c>
      <c r="AL291" s="1">
        <v>13.5</v>
      </c>
      <c r="AM291" s="1">
        <v>13.5</v>
      </c>
      <c r="AN291" s="1"/>
      <c r="AO291" s="1"/>
      <c r="AP291" s="1"/>
      <c r="AQ291" s="1">
        <f>AVERAGE(AH291:AK291)</f>
        <v>13.5</v>
      </c>
      <c r="AR291" s="1"/>
      <c r="AS291" s="12">
        <f>AVERAGE(AN291:AQ291)</f>
        <v>13.5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2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2"/>
      <c r="CC291" s="13">
        <f t="shared" si="80"/>
        <v>0</v>
      </c>
      <c r="CD291" s="6"/>
      <c r="CE291" s="6"/>
      <c r="CF291" s="6"/>
      <c r="CG291" s="6"/>
      <c r="CH291" s="6"/>
      <c r="CI291" s="6"/>
      <c r="CJ291" s="13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</row>
    <row r="292" spans="1:160" x14ac:dyDescent="0.3">
      <c r="A292" s="6" t="s">
        <v>305</v>
      </c>
      <c r="B292" s="10" t="s">
        <v>305</v>
      </c>
      <c r="C292" s="10" t="s">
        <v>515</v>
      </c>
      <c r="D292" s="6" t="s">
        <v>515</v>
      </c>
      <c r="E292" s="7"/>
      <c r="F292" s="7"/>
      <c r="G292" s="7"/>
      <c r="H292" s="7"/>
      <c r="I292" s="1"/>
      <c r="J292" s="1"/>
      <c r="K292" s="1"/>
      <c r="L292" s="1"/>
      <c r="M292" s="1"/>
      <c r="N292" s="1"/>
      <c r="O292" s="1"/>
      <c r="P292" s="1"/>
      <c r="Q292" s="12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2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2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2"/>
      <c r="CC292" s="13">
        <f t="shared" si="80"/>
        <v>0</v>
      </c>
      <c r="CD292" s="6"/>
      <c r="CE292" s="6"/>
      <c r="CF292" s="6"/>
      <c r="CG292" s="6"/>
      <c r="CH292" s="6"/>
      <c r="CI292" s="6"/>
      <c r="CJ292" s="13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</row>
    <row r="293" spans="1:160" x14ac:dyDescent="0.3">
      <c r="A293" s="6" t="s">
        <v>305</v>
      </c>
      <c r="B293" s="10" t="s">
        <v>305</v>
      </c>
      <c r="C293" s="10" t="s">
        <v>516</v>
      </c>
      <c r="D293" s="6" t="s">
        <v>516</v>
      </c>
      <c r="E293" s="7"/>
      <c r="F293" s="7"/>
      <c r="G293" s="7"/>
      <c r="H293" s="7"/>
      <c r="I293" s="1"/>
      <c r="J293" s="1"/>
      <c r="K293" s="1"/>
      <c r="L293" s="1"/>
      <c r="M293" s="1"/>
      <c r="N293" s="1"/>
      <c r="O293" s="1"/>
      <c r="P293" s="1"/>
      <c r="Q293" s="12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2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2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2"/>
      <c r="CC293" s="13">
        <f t="shared" si="80"/>
        <v>0</v>
      </c>
      <c r="CD293" s="6"/>
      <c r="CE293" s="6"/>
      <c r="CF293" s="6"/>
      <c r="CG293" s="6"/>
      <c r="CH293" s="6"/>
      <c r="CI293" s="6"/>
      <c r="CJ293" s="13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</row>
    <row r="294" spans="1:160" x14ac:dyDescent="0.3">
      <c r="A294" s="6" t="s">
        <v>305</v>
      </c>
      <c r="B294" s="10" t="s">
        <v>305</v>
      </c>
      <c r="C294" s="10" t="s">
        <v>517</v>
      </c>
      <c r="D294" s="6" t="s">
        <v>517</v>
      </c>
      <c r="E294" s="7">
        <v>19.958048000000002</v>
      </c>
      <c r="F294" s="7">
        <v>29.937072000000001</v>
      </c>
      <c r="G294" s="7"/>
      <c r="H294" s="7"/>
      <c r="I294" s="1"/>
      <c r="J294" s="1"/>
      <c r="K294" s="1"/>
      <c r="L294" s="1"/>
      <c r="M294" s="1"/>
      <c r="N294" s="1"/>
      <c r="O294" s="1"/>
      <c r="P294" s="1"/>
      <c r="Q294" s="12">
        <v>24.947559999999999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>
        <f>AVERAGE(E294:P294)</f>
        <v>24.947560000000003</v>
      </c>
      <c r="AF294" s="1"/>
      <c r="AG294" s="1">
        <f>AVERAGE(AE294:AF294)</f>
        <v>24.947560000000003</v>
      </c>
      <c r="AH294" s="1">
        <v>12</v>
      </c>
      <c r="AI294" s="1">
        <v>15</v>
      </c>
      <c r="AJ294" s="1"/>
      <c r="AK294" s="1"/>
      <c r="AL294" s="1">
        <v>13.5</v>
      </c>
      <c r="AM294" s="1"/>
      <c r="AN294" s="1"/>
      <c r="AO294" s="1"/>
      <c r="AP294" s="1"/>
      <c r="AQ294" s="1">
        <f>AVERAGE(AH294:AK294)</f>
        <v>13.5</v>
      </c>
      <c r="AR294" s="1"/>
      <c r="AS294" s="12">
        <f>AVERAGE(AN294:AQ294)</f>
        <v>13.5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2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2"/>
      <c r="CC294" s="13">
        <f t="shared" si="80"/>
        <v>0</v>
      </c>
      <c r="CD294" s="6"/>
      <c r="CE294" s="6"/>
      <c r="CF294" s="6"/>
      <c r="CG294" s="6"/>
      <c r="CH294" s="6"/>
      <c r="CI294" s="6"/>
      <c r="CJ294" s="13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</row>
    <row r="295" spans="1:160" x14ac:dyDescent="0.3">
      <c r="A295" s="6" t="s">
        <v>305</v>
      </c>
      <c r="B295" s="10" t="s">
        <v>305</v>
      </c>
      <c r="C295" s="10" t="s">
        <v>518</v>
      </c>
      <c r="D295" s="6" t="s">
        <v>518</v>
      </c>
      <c r="E295" s="7">
        <v>29.48348</v>
      </c>
      <c r="F295" s="7">
        <v>40.823279999999997</v>
      </c>
      <c r="G295" s="7"/>
      <c r="H295" s="7"/>
      <c r="I295" s="1"/>
      <c r="J295" s="1"/>
      <c r="K295" s="1"/>
      <c r="L295" s="1"/>
      <c r="M295" s="1"/>
      <c r="N295" s="1"/>
      <c r="O295" s="1"/>
      <c r="P295" s="1"/>
      <c r="Q295" s="12">
        <v>35.153379999999999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>
        <f>AVERAGE(E295:P295)</f>
        <v>35.153379999999999</v>
      </c>
      <c r="AF295" s="1"/>
      <c r="AG295" s="1">
        <f>AVERAGE(AE295:AF295)</f>
        <v>35.153379999999999</v>
      </c>
      <c r="AH295" s="1">
        <v>10</v>
      </c>
      <c r="AI295" s="1">
        <v>14</v>
      </c>
      <c r="AJ295" s="1"/>
      <c r="AK295" s="1"/>
      <c r="AL295" s="1">
        <v>12</v>
      </c>
      <c r="AM295" s="1"/>
      <c r="AN295" s="1"/>
      <c r="AO295" s="1"/>
      <c r="AP295" s="1"/>
      <c r="AQ295" s="1">
        <f>AVERAGE(AH295:AK295)</f>
        <v>12</v>
      </c>
      <c r="AR295" s="1"/>
      <c r="AS295" s="12">
        <f>AVERAGE(AN295:AQ295)</f>
        <v>12</v>
      </c>
      <c r="AT295" s="1"/>
      <c r="AU295" s="1"/>
      <c r="AV295" s="1"/>
      <c r="AW295" s="1"/>
      <c r="AX295" s="1"/>
      <c r="AY295" s="1">
        <v>8.43</v>
      </c>
      <c r="AZ295" s="1"/>
      <c r="BA295" s="1"/>
      <c r="BB295" s="1"/>
      <c r="BC295" s="1"/>
      <c r="BD295" s="1"/>
      <c r="BE295" s="1">
        <v>9</v>
      </c>
      <c r="BF295" s="1"/>
      <c r="BG295" s="1"/>
      <c r="BH295" s="1"/>
      <c r="BI295" s="1"/>
      <c r="BJ295" s="1"/>
      <c r="BK295" s="1"/>
      <c r="BL295" s="1"/>
      <c r="BM295" s="1">
        <f>AVERAGE(AV295:BI295)</f>
        <v>8.7149999999999999</v>
      </c>
      <c r="BN295" s="12">
        <f>AVERAGE(AT295:BK295)</f>
        <v>8.7149999999999999</v>
      </c>
      <c r="BO295" s="1"/>
      <c r="BP295" s="1"/>
      <c r="BQ295" s="1"/>
      <c r="BR295" s="1"/>
      <c r="BS295" s="1"/>
      <c r="BT295" s="1">
        <v>560</v>
      </c>
      <c r="BU295" s="1"/>
      <c r="BV295" s="1"/>
      <c r="BW295" s="1"/>
      <c r="BX295" s="1"/>
      <c r="BY295" s="1">
        <f>AVERAGE(BR295:BU295)</f>
        <v>560</v>
      </c>
      <c r="BZ295" s="1">
        <f>BY295/1000</f>
        <v>0.56000000000000005</v>
      </c>
      <c r="CA295" s="1">
        <f>AVERAGE(BQ295:BU295)</f>
        <v>560</v>
      </c>
      <c r="CB295" s="12">
        <f>CA295/1000</f>
        <v>0.56000000000000005</v>
      </c>
      <c r="CC295" s="13">
        <f t="shared" si="80"/>
        <v>4.8804000000000007</v>
      </c>
      <c r="CD295" s="6"/>
      <c r="CE295" s="6"/>
      <c r="CF295" s="6"/>
      <c r="CG295" s="6"/>
      <c r="CH295" s="6"/>
      <c r="CI295" s="6"/>
      <c r="CJ295" s="13">
        <f>((Q295-CB295)/CB295)*100</f>
        <v>6177.3892857142846</v>
      </c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</row>
    <row r="296" spans="1:160" x14ac:dyDescent="0.3">
      <c r="A296" s="6" t="s">
        <v>305</v>
      </c>
      <c r="B296" s="10" t="s">
        <v>305</v>
      </c>
      <c r="C296" s="10" t="s">
        <v>519</v>
      </c>
      <c r="D296" s="6" t="s">
        <v>519</v>
      </c>
      <c r="E296" s="7"/>
      <c r="F296" s="7"/>
      <c r="G296" s="7"/>
      <c r="H296" s="7"/>
      <c r="I296" s="1"/>
      <c r="J296" s="1"/>
      <c r="K296" s="1"/>
      <c r="L296" s="1"/>
      <c r="M296" s="1"/>
      <c r="N296" s="1"/>
      <c r="O296" s="1"/>
      <c r="P296" s="1"/>
      <c r="Q296" s="12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2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2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2"/>
      <c r="CC296" s="13">
        <f t="shared" si="80"/>
        <v>0</v>
      </c>
      <c r="CD296" s="6"/>
      <c r="CE296" s="6"/>
      <c r="CF296" s="6"/>
      <c r="CG296" s="6"/>
      <c r="CH296" s="6"/>
      <c r="CI296" s="6"/>
      <c r="CJ296" s="13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</row>
    <row r="297" spans="1:160" x14ac:dyDescent="0.3">
      <c r="A297" s="6" t="s">
        <v>305</v>
      </c>
      <c r="B297" s="10" t="s">
        <v>305</v>
      </c>
      <c r="C297" s="10" t="s">
        <v>520</v>
      </c>
      <c r="D297" s="6" t="s">
        <v>520</v>
      </c>
      <c r="E297" s="7">
        <v>24.947559999999999</v>
      </c>
      <c r="F297" s="7"/>
      <c r="G297" s="7"/>
      <c r="H297" s="7"/>
      <c r="I297" s="1"/>
      <c r="J297" s="1"/>
      <c r="K297" s="1"/>
      <c r="L297" s="1"/>
      <c r="M297" s="1"/>
      <c r="N297" s="1"/>
      <c r="O297" s="1"/>
      <c r="P297" s="1"/>
      <c r="Q297" s="12">
        <v>24.947559999999999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>
        <f>AVERAGE(E297:P297)</f>
        <v>24.947559999999999</v>
      </c>
      <c r="AF297" s="1"/>
      <c r="AG297" s="1">
        <f>AVERAGE(AE297:AF297)</f>
        <v>24.947559999999999</v>
      </c>
      <c r="AH297" s="1">
        <v>10</v>
      </c>
      <c r="AI297" s="1">
        <v>14</v>
      </c>
      <c r="AJ297" s="1"/>
      <c r="AK297" s="1"/>
      <c r="AL297" s="1">
        <v>12</v>
      </c>
      <c r="AM297" s="1"/>
      <c r="AN297" s="1"/>
      <c r="AO297" s="1"/>
      <c r="AP297" s="1"/>
      <c r="AQ297" s="1">
        <f>AVERAGE(AH297:AK297)</f>
        <v>12</v>
      </c>
      <c r="AR297" s="1"/>
      <c r="AS297" s="12">
        <f>AVERAGE(AN297:AQ297)</f>
        <v>12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2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2"/>
      <c r="CC297" s="13">
        <f t="shared" si="80"/>
        <v>0</v>
      </c>
      <c r="CD297" s="6"/>
      <c r="CE297" s="6"/>
      <c r="CF297" s="6"/>
      <c r="CG297" s="6"/>
      <c r="CH297" s="6"/>
      <c r="CI297" s="6"/>
      <c r="CJ297" s="13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</row>
    <row r="298" spans="1:160" x14ac:dyDescent="0.3">
      <c r="A298" s="6" t="s">
        <v>305</v>
      </c>
      <c r="B298" s="10" t="s">
        <v>305</v>
      </c>
      <c r="C298" s="10" t="s">
        <v>521</v>
      </c>
      <c r="D298" s="6" t="s">
        <v>521</v>
      </c>
      <c r="E298" s="7"/>
      <c r="F298" s="7"/>
      <c r="G298" s="7"/>
      <c r="H298" s="7"/>
      <c r="I298" s="1"/>
      <c r="J298" s="1"/>
      <c r="K298" s="1"/>
      <c r="L298" s="1"/>
      <c r="M298" s="1"/>
      <c r="N298" s="1"/>
      <c r="O298" s="1"/>
      <c r="P298" s="1"/>
      <c r="Q298" s="12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2"/>
      <c r="AT298" s="1"/>
      <c r="AU298" s="1"/>
      <c r="AV298" s="1"/>
      <c r="AW298" s="1"/>
      <c r="AX298" s="1"/>
      <c r="AY298" s="1"/>
      <c r="AZ298" s="1">
        <v>6.9</v>
      </c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>
        <f>AVERAGE(AV298:BI298)</f>
        <v>6.9</v>
      </c>
      <c r="BN298" s="12">
        <f>AVERAGE(AT298:BK298)</f>
        <v>6.9</v>
      </c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2"/>
      <c r="CC298" s="13">
        <f t="shared" si="80"/>
        <v>0</v>
      </c>
      <c r="CD298" s="6"/>
      <c r="CE298" s="6"/>
      <c r="CF298" s="6"/>
      <c r="CG298" s="6"/>
      <c r="CH298" s="6"/>
      <c r="CI298" s="6"/>
      <c r="CJ298" s="13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</row>
    <row r="299" spans="1:160" s="2" customFormat="1" x14ac:dyDescent="0.3">
      <c r="A299" s="6" t="s">
        <v>305</v>
      </c>
      <c r="B299" s="10" t="s">
        <v>305</v>
      </c>
      <c r="C299" s="10" t="s">
        <v>522</v>
      </c>
      <c r="D299" s="6" t="s">
        <v>522</v>
      </c>
      <c r="E299" s="7"/>
      <c r="F299" s="7"/>
      <c r="G299" s="7">
        <v>22.5</v>
      </c>
      <c r="H299" s="7">
        <v>34</v>
      </c>
      <c r="I299" s="1">
        <v>19.050864000000001</v>
      </c>
      <c r="J299" s="1">
        <v>27.215520000000001</v>
      </c>
      <c r="K299" s="1"/>
      <c r="L299" s="1"/>
      <c r="M299" s="1">
        <v>15.875719999999999</v>
      </c>
      <c r="N299" s="1">
        <v>22.679600000000001</v>
      </c>
      <c r="O299" s="1"/>
      <c r="P299" s="1"/>
      <c r="Q299" s="12">
        <v>21.205425999999999</v>
      </c>
      <c r="R299" s="1">
        <v>23.133192000000001</v>
      </c>
      <c r="S299" s="1">
        <v>19.277660000000001</v>
      </c>
      <c r="T299" s="1">
        <v>28.25</v>
      </c>
      <c r="U299" s="1"/>
      <c r="V299" s="1"/>
      <c r="W299" s="1">
        <f>AVERAGE(X299:Y299)</f>
        <v>29.5</v>
      </c>
      <c r="X299" s="1">
        <v>29.5</v>
      </c>
      <c r="Y299" s="1">
        <v>29.5</v>
      </c>
      <c r="Z299" s="1"/>
      <c r="AA299" s="1"/>
      <c r="AB299" s="1"/>
      <c r="AC299" s="1"/>
      <c r="AD299" s="1"/>
      <c r="AE299" s="1">
        <f>AVERAGE(E299:P299)</f>
        <v>23.553617333333335</v>
      </c>
      <c r="AF299" s="1">
        <f>AVERAGE(X299:AD299)</f>
        <v>29.5</v>
      </c>
      <c r="AG299" s="1">
        <f>AVERAGE(AE299:AF299)</f>
        <v>26.526808666666668</v>
      </c>
      <c r="AH299" s="1">
        <v>11</v>
      </c>
      <c r="AI299" s="1">
        <v>15</v>
      </c>
      <c r="AJ299" s="1">
        <v>11</v>
      </c>
      <c r="AK299" s="1">
        <v>15</v>
      </c>
      <c r="AL299" s="1">
        <v>13</v>
      </c>
      <c r="AM299" s="1">
        <v>13</v>
      </c>
      <c r="AN299" s="1"/>
      <c r="AO299" s="1"/>
      <c r="AP299" s="1">
        <v>12.9</v>
      </c>
      <c r="AQ299" s="1">
        <f>AVERAGE(AH299:AK299)</f>
        <v>13</v>
      </c>
      <c r="AR299" s="1">
        <f>AVERAGE(AN299:AP299)</f>
        <v>12.9</v>
      </c>
      <c r="AS299" s="12">
        <f>AVERAGE(AN299:AQ299)</f>
        <v>12.95</v>
      </c>
      <c r="AT299" s="1"/>
      <c r="AU299" s="1"/>
      <c r="AV299" s="1"/>
      <c r="AW299" s="1"/>
      <c r="AX299" s="1"/>
      <c r="AY299" s="1"/>
      <c r="AZ299" s="1">
        <v>8</v>
      </c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>
        <f>AVERAGE(AV299:BI299)</f>
        <v>8</v>
      </c>
      <c r="BN299" s="12">
        <f>AVERAGE(AT299:BK299)</f>
        <v>8</v>
      </c>
      <c r="BO299" s="1"/>
      <c r="BP299" s="1"/>
      <c r="BQ299" s="1"/>
      <c r="BR299" s="1">
        <v>393.5</v>
      </c>
      <c r="BS299" s="1"/>
      <c r="BT299" s="1"/>
      <c r="BU299" s="1"/>
      <c r="BV299" s="1">
        <v>410</v>
      </c>
      <c r="BW299" s="1">
        <v>377</v>
      </c>
      <c r="BX299" s="1"/>
      <c r="BY299" s="1">
        <f>AVERAGE(BR299:BU299)</f>
        <v>393.5</v>
      </c>
      <c r="BZ299" s="1">
        <f>BY299/1000</f>
        <v>0.39350000000000002</v>
      </c>
      <c r="CA299" s="1">
        <f>AVERAGE(BQ299:BU299)</f>
        <v>393.5</v>
      </c>
      <c r="CB299" s="12">
        <f>CA299/1000</f>
        <v>0.39350000000000002</v>
      </c>
      <c r="CC299" s="13">
        <f t="shared" si="80"/>
        <v>3.1480000000000001</v>
      </c>
      <c r="CD299" s="6"/>
      <c r="CE299" s="6"/>
      <c r="CF299" s="6"/>
      <c r="CG299" s="6"/>
      <c r="CH299" s="6"/>
      <c r="CI299" s="6"/>
      <c r="CJ299" s="13">
        <f>((Q299-CB299)/CB299)*100</f>
        <v>5288.9265565438373</v>
      </c>
    </row>
    <row r="300" spans="1:160" x14ac:dyDescent="0.3">
      <c r="A300" s="6" t="s">
        <v>305</v>
      </c>
      <c r="B300" s="10" t="s">
        <v>305</v>
      </c>
      <c r="C300" s="10" t="s">
        <v>523</v>
      </c>
      <c r="D300" s="6" t="s">
        <v>523</v>
      </c>
      <c r="E300" s="7"/>
      <c r="F300" s="7"/>
      <c r="G300" s="7"/>
      <c r="H300" s="7"/>
      <c r="I300" s="1"/>
      <c r="J300" s="1"/>
      <c r="K300" s="1"/>
      <c r="L300" s="1"/>
      <c r="M300" s="1"/>
      <c r="N300" s="1"/>
      <c r="O300" s="1"/>
      <c r="P300" s="1"/>
      <c r="Q300" s="12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2"/>
      <c r="AT300" s="1"/>
      <c r="AU300" s="1"/>
      <c r="AV300" s="1"/>
      <c r="AW300" s="1"/>
      <c r="AX300" s="1"/>
      <c r="AY300" s="1"/>
      <c r="AZ300" s="1">
        <v>6</v>
      </c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>
        <f>AVERAGE(AV300:BI300)</f>
        <v>6</v>
      </c>
      <c r="BN300" s="12">
        <f>AVERAGE(AT300:BK300)</f>
        <v>6</v>
      </c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2"/>
      <c r="CC300" s="13">
        <f t="shared" si="80"/>
        <v>0</v>
      </c>
      <c r="CD300" s="6"/>
      <c r="CE300" s="6"/>
      <c r="CF300" s="6"/>
      <c r="CG300" s="6"/>
      <c r="CH300" s="6"/>
      <c r="CI300" s="6"/>
      <c r="CJ300" s="13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</row>
    <row r="301" spans="1:160" x14ac:dyDescent="0.3">
      <c r="A301" s="6" t="s">
        <v>305</v>
      </c>
      <c r="B301" s="10" t="s">
        <v>305</v>
      </c>
      <c r="C301" s="10" t="s">
        <v>524</v>
      </c>
      <c r="D301" s="6" t="s">
        <v>524</v>
      </c>
      <c r="E301" s="7"/>
      <c r="F301" s="7"/>
      <c r="G301" s="7"/>
      <c r="H301" s="7"/>
      <c r="I301" s="1"/>
      <c r="J301" s="1"/>
      <c r="K301" s="1"/>
      <c r="L301" s="1"/>
      <c r="M301" s="1"/>
      <c r="N301" s="1"/>
      <c r="O301" s="1"/>
      <c r="P301" s="1"/>
      <c r="Q301" s="12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2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2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2"/>
      <c r="CC301" s="13">
        <f t="shared" si="80"/>
        <v>0</v>
      </c>
      <c r="CD301" s="6"/>
      <c r="CE301" s="6"/>
      <c r="CF301" s="6"/>
      <c r="CG301" s="6"/>
      <c r="CH301" s="6"/>
      <c r="CI301" s="6"/>
      <c r="CJ301" s="13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</row>
    <row r="302" spans="1:160" x14ac:dyDescent="0.3">
      <c r="A302" s="6" t="s">
        <v>305</v>
      </c>
      <c r="B302" s="10" t="s">
        <v>305</v>
      </c>
      <c r="C302" s="10" t="s">
        <v>525</v>
      </c>
      <c r="D302" s="6" t="s">
        <v>526</v>
      </c>
      <c r="E302" s="7">
        <v>24.947559999999999</v>
      </c>
      <c r="F302" s="7">
        <v>40.823279999999997</v>
      </c>
      <c r="G302" s="7"/>
      <c r="H302" s="7"/>
      <c r="I302" s="1"/>
      <c r="J302" s="1"/>
      <c r="K302" s="1"/>
      <c r="L302" s="1"/>
      <c r="M302" s="1"/>
      <c r="N302" s="1"/>
      <c r="O302" s="1"/>
      <c r="P302" s="1"/>
      <c r="Q302" s="12">
        <v>32.885420000000003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>
        <f>AVERAGE(E302:P302)</f>
        <v>32.885419999999996</v>
      </c>
      <c r="AF302" s="1"/>
      <c r="AG302" s="1">
        <f>AVERAGE(AE302:AF302)</f>
        <v>32.885419999999996</v>
      </c>
      <c r="AH302" s="1">
        <v>10</v>
      </c>
      <c r="AI302" s="1">
        <v>14</v>
      </c>
      <c r="AJ302" s="1"/>
      <c r="AK302" s="1"/>
      <c r="AL302" s="1">
        <v>12</v>
      </c>
      <c r="AM302" s="1"/>
      <c r="AN302" s="1"/>
      <c r="AO302" s="1"/>
      <c r="AP302" s="1"/>
      <c r="AQ302" s="1">
        <f>AVERAGE(AH302:AK302)</f>
        <v>12</v>
      </c>
      <c r="AR302" s="1"/>
      <c r="AS302" s="12">
        <f>AVERAGE(AN302:AQ302)</f>
        <v>12</v>
      </c>
      <c r="AT302" s="1"/>
      <c r="AU302" s="1"/>
      <c r="AV302" s="1"/>
      <c r="AW302" s="1"/>
      <c r="AX302" s="1"/>
      <c r="AY302" s="1"/>
      <c r="AZ302" s="1">
        <v>8</v>
      </c>
      <c r="BA302" s="1"/>
      <c r="BB302" s="1"/>
      <c r="BC302" s="1"/>
      <c r="BD302" s="1"/>
      <c r="BE302" s="1">
        <v>10</v>
      </c>
      <c r="BF302" s="1"/>
      <c r="BG302" s="1"/>
      <c r="BH302" s="1"/>
      <c r="BI302" s="1"/>
      <c r="BJ302" s="1"/>
      <c r="BK302" s="1"/>
      <c r="BL302" s="1"/>
      <c r="BM302" s="1">
        <f>AVERAGE(AV302:BI302)</f>
        <v>9</v>
      </c>
      <c r="BN302" s="12">
        <f>AVERAGE(AT302:BK302)</f>
        <v>9</v>
      </c>
      <c r="BO302" s="1"/>
      <c r="BP302" s="1"/>
      <c r="BQ302" s="1"/>
      <c r="BR302" s="1"/>
      <c r="BS302" s="1"/>
      <c r="BT302" s="1">
        <v>405</v>
      </c>
      <c r="BU302" s="1"/>
      <c r="BV302" s="1"/>
      <c r="BW302" s="1"/>
      <c r="BX302" s="1"/>
      <c r="BY302" s="1">
        <f>AVERAGE(BR302:BU302)</f>
        <v>405</v>
      </c>
      <c r="BZ302" s="1">
        <f>BY302/1000</f>
        <v>0.40500000000000003</v>
      </c>
      <c r="CA302" s="1">
        <f>AVERAGE(BQ302:BU302)</f>
        <v>405</v>
      </c>
      <c r="CB302" s="12">
        <f>CA302/1000</f>
        <v>0.40500000000000003</v>
      </c>
      <c r="CC302" s="13">
        <f t="shared" si="80"/>
        <v>3.6450000000000005</v>
      </c>
      <c r="CD302" s="6"/>
      <c r="CE302" s="6"/>
      <c r="CF302" s="6"/>
      <c r="CG302" s="6"/>
      <c r="CH302" s="6"/>
      <c r="CI302" s="6"/>
      <c r="CJ302" s="13">
        <f>((Q302-CB302)/CB302)*100</f>
        <v>8019.8567901234564</v>
      </c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</row>
    <row r="303" spans="1:160" x14ac:dyDescent="0.3">
      <c r="A303" s="6" t="s">
        <v>305</v>
      </c>
      <c r="B303" s="10" t="s">
        <v>305</v>
      </c>
      <c r="C303" s="10" t="s">
        <v>527</v>
      </c>
      <c r="D303" s="6" t="s">
        <v>527</v>
      </c>
      <c r="E303" s="7">
        <v>18.14368</v>
      </c>
      <c r="F303" s="7">
        <v>27.215520000000001</v>
      </c>
      <c r="G303" s="7"/>
      <c r="H303" s="7"/>
      <c r="I303" s="1"/>
      <c r="J303" s="1"/>
      <c r="K303" s="1"/>
      <c r="L303" s="1"/>
      <c r="M303" s="1"/>
      <c r="N303" s="1"/>
      <c r="O303" s="1"/>
      <c r="P303" s="1"/>
      <c r="Q303" s="12">
        <v>22.679600000000001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>
        <f>AVERAGE(E303:P303)</f>
        <v>22.679600000000001</v>
      </c>
      <c r="AF303" s="1"/>
      <c r="AG303" s="1">
        <f>AVERAGE(AE303:AF303)</f>
        <v>22.679600000000001</v>
      </c>
      <c r="AH303" s="1">
        <v>11</v>
      </c>
      <c r="AI303" s="1">
        <v>13</v>
      </c>
      <c r="AJ303" s="1"/>
      <c r="AK303" s="1"/>
      <c r="AL303" s="1">
        <v>12</v>
      </c>
      <c r="AM303" s="1"/>
      <c r="AN303" s="1"/>
      <c r="AO303" s="1"/>
      <c r="AP303" s="1"/>
      <c r="AQ303" s="1">
        <f>AVERAGE(AH303:AK303)</f>
        <v>12</v>
      </c>
      <c r="AR303" s="1"/>
      <c r="AS303" s="12">
        <f>AVERAGE(AN303:AQ303)</f>
        <v>12</v>
      </c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2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2"/>
      <c r="CC303" s="13">
        <f t="shared" si="80"/>
        <v>0</v>
      </c>
      <c r="CD303" s="6"/>
      <c r="CE303" s="6"/>
      <c r="CF303" s="6"/>
      <c r="CG303" s="6"/>
      <c r="CH303" s="6"/>
      <c r="CI303" s="6"/>
      <c r="CJ303" s="13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</row>
    <row r="304" spans="1:160" x14ac:dyDescent="0.3">
      <c r="A304" s="6" t="s">
        <v>305</v>
      </c>
      <c r="B304" s="10" t="s">
        <v>305</v>
      </c>
      <c r="C304" s="10" t="s">
        <v>528</v>
      </c>
      <c r="D304" s="6" t="s">
        <v>529</v>
      </c>
      <c r="E304" s="7">
        <v>45.359200000000001</v>
      </c>
      <c r="F304" s="7">
        <v>90.718400000000003</v>
      </c>
      <c r="G304" s="7"/>
      <c r="H304" s="7"/>
      <c r="I304" s="1"/>
      <c r="J304" s="1"/>
      <c r="K304" s="1"/>
      <c r="L304" s="1"/>
      <c r="M304" s="1"/>
      <c r="N304" s="1"/>
      <c r="O304" s="1"/>
      <c r="P304" s="1"/>
      <c r="Q304" s="12">
        <v>68.038799999999995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>
        <f>AVERAGE(E304:P304)</f>
        <v>68.038800000000009</v>
      </c>
      <c r="AF304" s="1"/>
      <c r="AG304" s="1">
        <f>AVERAGE(AE304:AF304)</f>
        <v>68.038800000000009</v>
      </c>
      <c r="AH304" s="1">
        <v>10</v>
      </c>
      <c r="AI304" s="1">
        <v>12</v>
      </c>
      <c r="AJ304" s="1"/>
      <c r="AK304" s="1"/>
      <c r="AL304" s="1">
        <v>11</v>
      </c>
      <c r="AM304" s="1"/>
      <c r="AN304" s="1"/>
      <c r="AO304" s="1"/>
      <c r="AP304" s="1"/>
      <c r="AQ304" s="1">
        <f>AVERAGE(AH304:AK304)</f>
        <v>11</v>
      </c>
      <c r="AR304" s="1"/>
      <c r="AS304" s="12">
        <f>AVERAGE(AN304:AQ304)</f>
        <v>11</v>
      </c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2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2"/>
      <c r="CC304" s="13">
        <f t="shared" si="80"/>
        <v>0</v>
      </c>
      <c r="CD304" s="6"/>
      <c r="CE304" s="6"/>
      <c r="CF304" s="6"/>
      <c r="CG304" s="6"/>
      <c r="CH304" s="6"/>
      <c r="CI304" s="6"/>
      <c r="CJ304" s="13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</row>
    <row r="305" spans="1:160" x14ac:dyDescent="0.3">
      <c r="A305" s="6" t="s">
        <v>305</v>
      </c>
      <c r="B305" s="10" t="s">
        <v>305</v>
      </c>
      <c r="C305" s="10" t="s">
        <v>530</v>
      </c>
      <c r="D305" s="6" t="s">
        <v>530</v>
      </c>
      <c r="E305" s="7"/>
      <c r="F305" s="7"/>
      <c r="G305" s="7"/>
      <c r="H305" s="7"/>
      <c r="I305" s="1"/>
      <c r="J305" s="1"/>
      <c r="K305" s="1"/>
      <c r="L305" s="1"/>
      <c r="M305" s="1"/>
      <c r="N305" s="1"/>
      <c r="O305" s="1"/>
      <c r="P305" s="1"/>
      <c r="Q305" s="12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2"/>
      <c r="AT305" s="1"/>
      <c r="AU305" s="1"/>
      <c r="AV305" s="1"/>
      <c r="AW305" s="1"/>
      <c r="AX305" s="1"/>
      <c r="AY305" s="1"/>
      <c r="AZ305" s="1">
        <v>3.9</v>
      </c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>
        <f>AVERAGE(AV305:BI305)</f>
        <v>3.9</v>
      </c>
      <c r="BN305" s="12">
        <f>AVERAGE(AT305:BK305)</f>
        <v>3.9</v>
      </c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2"/>
      <c r="CC305" s="13">
        <f t="shared" si="80"/>
        <v>0</v>
      </c>
      <c r="CD305" s="6"/>
      <c r="CE305" s="6"/>
      <c r="CF305" s="6"/>
      <c r="CG305" s="6"/>
      <c r="CH305" s="6"/>
      <c r="CI305" s="6"/>
      <c r="CJ305" s="13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</row>
    <row r="306" spans="1:160" x14ac:dyDescent="0.3">
      <c r="A306" s="6" t="s">
        <v>305</v>
      </c>
      <c r="B306" s="10" t="s">
        <v>305</v>
      </c>
      <c r="C306" s="10" t="s">
        <v>531</v>
      </c>
      <c r="D306" s="6" t="s">
        <v>531</v>
      </c>
      <c r="E306" s="7"/>
      <c r="F306" s="7"/>
      <c r="G306" s="7"/>
      <c r="H306" s="7"/>
      <c r="I306" s="1"/>
      <c r="J306" s="1"/>
      <c r="K306" s="1"/>
      <c r="L306" s="1"/>
      <c r="M306" s="1"/>
      <c r="N306" s="1"/>
      <c r="O306" s="1"/>
      <c r="P306" s="1"/>
      <c r="Q306" s="12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2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2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2"/>
      <c r="CC306" s="13">
        <f t="shared" si="80"/>
        <v>0</v>
      </c>
      <c r="CD306" s="6"/>
      <c r="CE306" s="6"/>
      <c r="CF306" s="6"/>
      <c r="CG306" s="6"/>
      <c r="CH306" s="6"/>
      <c r="CI306" s="6"/>
      <c r="CJ306" s="13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</row>
    <row r="307" spans="1:160" x14ac:dyDescent="0.3">
      <c r="A307" s="6" t="s">
        <v>305</v>
      </c>
      <c r="B307" s="10" t="s">
        <v>305</v>
      </c>
      <c r="C307" s="10" t="s">
        <v>532</v>
      </c>
      <c r="D307" s="6" t="s">
        <v>532</v>
      </c>
      <c r="E307" s="7">
        <v>9.0718399999999999</v>
      </c>
      <c r="F307" s="7">
        <v>18.14368</v>
      </c>
      <c r="G307" s="7"/>
      <c r="H307" s="7"/>
      <c r="I307" s="1"/>
      <c r="J307" s="1"/>
      <c r="K307" s="1"/>
      <c r="L307" s="1"/>
      <c r="M307" s="1"/>
      <c r="N307" s="1"/>
      <c r="O307" s="1"/>
      <c r="P307" s="1"/>
      <c r="Q307" s="12">
        <v>13.607760000000001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>
        <f>AVERAGE(E307:P307)</f>
        <v>13.607759999999999</v>
      </c>
      <c r="AF307" s="1"/>
      <c r="AG307" s="1">
        <f>AVERAGE(AE307:AF307)</f>
        <v>13.607759999999999</v>
      </c>
      <c r="AH307" s="1">
        <v>12</v>
      </c>
      <c r="AI307" s="1">
        <v>15</v>
      </c>
      <c r="AJ307" s="1"/>
      <c r="AK307" s="1"/>
      <c r="AL307" s="1">
        <v>13.5</v>
      </c>
      <c r="AM307" s="1"/>
      <c r="AN307" s="1"/>
      <c r="AO307" s="1"/>
      <c r="AP307" s="1"/>
      <c r="AQ307" s="1">
        <f>AVERAGE(AH307:AK307)</f>
        <v>13.5</v>
      </c>
      <c r="AR307" s="1"/>
      <c r="AS307" s="12">
        <f>AVERAGE(AN307:AQ307)</f>
        <v>13.5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2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2"/>
      <c r="CC307" s="13">
        <f t="shared" si="80"/>
        <v>0</v>
      </c>
      <c r="CD307" s="6"/>
      <c r="CE307" s="6"/>
      <c r="CF307" s="6"/>
      <c r="CG307" s="6"/>
      <c r="CH307" s="6"/>
      <c r="CI307" s="6"/>
      <c r="CJ307" s="13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</row>
    <row r="308" spans="1:160" x14ac:dyDescent="0.3">
      <c r="A308" s="6" t="s">
        <v>305</v>
      </c>
      <c r="B308" s="10" t="s">
        <v>305</v>
      </c>
      <c r="C308" s="10" t="s">
        <v>533</v>
      </c>
      <c r="D308" s="6" t="s">
        <v>533</v>
      </c>
      <c r="E308" s="7">
        <v>19.958048000000002</v>
      </c>
      <c r="F308" s="7">
        <v>22.226008</v>
      </c>
      <c r="G308" s="7"/>
      <c r="H308" s="7"/>
      <c r="I308" s="1"/>
      <c r="J308" s="1"/>
      <c r="K308" s="1"/>
      <c r="L308" s="1"/>
      <c r="M308" s="1"/>
      <c r="N308" s="1"/>
      <c r="O308" s="1"/>
      <c r="P308" s="1"/>
      <c r="Q308" s="12">
        <v>21.092027999999999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>
        <f>AVERAGE(E308:P308)</f>
        <v>21.092027999999999</v>
      </c>
      <c r="AF308" s="1"/>
      <c r="AG308" s="1">
        <f>AVERAGE(AE308:AF308)</f>
        <v>21.092027999999999</v>
      </c>
      <c r="AH308" s="1">
        <v>11</v>
      </c>
      <c r="AI308" s="1">
        <v>13</v>
      </c>
      <c r="AJ308" s="1"/>
      <c r="AK308" s="1"/>
      <c r="AL308" s="1">
        <v>12</v>
      </c>
      <c r="AM308" s="1"/>
      <c r="AN308" s="1"/>
      <c r="AO308" s="1"/>
      <c r="AP308" s="1"/>
      <c r="AQ308" s="1">
        <f>AVERAGE(AH308:AK308)</f>
        <v>12</v>
      </c>
      <c r="AR308" s="1"/>
      <c r="AS308" s="12">
        <f>AVERAGE(AN308:AQ308)</f>
        <v>12</v>
      </c>
      <c r="AT308" s="1"/>
      <c r="AU308" s="1"/>
      <c r="AV308" s="1"/>
      <c r="AW308" s="1"/>
      <c r="AX308" s="1"/>
      <c r="AY308" s="1"/>
      <c r="AZ308" s="1">
        <v>6.5</v>
      </c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>
        <f>AVERAGE(AV308:BI308)</f>
        <v>6.5</v>
      </c>
      <c r="BN308" s="12">
        <f>AVERAGE(AT308:BK308)</f>
        <v>6.5</v>
      </c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2"/>
      <c r="CC308" s="13">
        <f t="shared" si="80"/>
        <v>0</v>
      </c>
      <c r="CD308" s="6"/>
      <c r="CE308" s="6"/>
      <c r="CF308" s="6"/>
      <c r="CG308" s="6"/>
      <c r="CH308" s="6"/>
      <c r="CI308" s="6"/>
      <c r="CJ308" s="13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</row>
    <row r="309" spans="1:160" x14ac:dyDescent="0.3">
      <c r="A309" s="6" t="s">
        <v>305</v>
      </c>
      <c r="B309" s="10" t="s">
        <v>305</v>
      </c>
      <c r="C309" s="10" t="s">
        <v>534</v>
      </c>
      <c r="D309" s="6" t="s">
        <v>534</v>
      </c>
      <c r="E309" s="7"/>
      <c r="F309" s="7"/>
      <c r="G309" s="7"/>
      <c r="H309" s="7"/>
      <c r="I309" s="1"/>
      <c r="J309" s="1"/>
      <c r="K309" s="1"/>
      <c r="L309" s="1"/>
      <c r="M309" s="1"/>
      <c r="N309" s="1"/>
      <c r="O309" s="1"/>
      <c r="P309" s="1"/>
      <c r="Q309" s="12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2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2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2"/>
      <c r="CC309" s="13">
        <f t="shared" si="80"/>
        <v>0</v>
      </c>
      <c r="CD309" s="6"/>
      <c r="CE309" s="6"/>
      <c r="CF309" s="6"/>
      <c r="CG309" s="6"/>
      <c r="CH309" s="6"/>
      <c r="CI309" s="6"/>
      <c r="CJ309" s="13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</row>
    <row r="310" spans="1:160" x14ac:dyDescent="0.3">
      <c r="A310" s="6" t="s">
        <v>305</v>
      </c>
      <c r="B310" s="10" t="s">
        <v>305</v>
      </c>
      <c r="C310" s="10" t="s">
        <v>535</v>
      </c>
      <c r="D310" s="6" t="s">
        <v>535</v>
      </c>
      <c r="E310" s="7"/>
      <c r="F310" s="7"/>
      <c r="G310" s="7"/>
      <c r="H310" s="7"/>
      <c r="I310" s="1"/>
      <c r="J310" s="1"/>
      <c r="K310" s="1"/>
      <c r="L310" s="1"/>
      <c r="M310" s="1"/>
      <c r="N310" s="1"/>
      <c r="O310" s="1"/>
      <c r="P310" s="1"/>
      <c r="Q310" s="12"/>
      <c r="R310" s="1"/>
      <c r="S310" s="1"/>
      <c r="T310" s="1"/>
      <c r="U310" s="1"/>
      <c r="V310" s="1"/>
      <c r="W310" s="1">
        <f>AVERAGE(X310:Y310)</f>
        <v>4.99</v>
      </c>
      <c r="X310" s="1">
        <v>4.99</v>
      </c>
      <c r="Y310" s="1"/>
      <c r="Z310" s="1"/>
      <c r="AA310" s="1"/>
      <c r="AB310" s="1"/>
      <c r="AC310" s="1"/>
      <c r="AD310" s="1"/>
      <c r="AE310" s="1"/>
      <c r="AF310" s="1">
        <f>AVERAGE(X310:AD310)</f>
        <v>4.99</v>
      </c>
      <c r="AG310" s="1">
        <f>AVERAGE(AE310:AF310)</f>
        <v>4.99</v>
      </c>
      <c r="AH310" s="1"/>
      <c r="AI310" s="1"/>
      <c r="AJ310" s="1"/>
      <c r="AK310" s="1"/>
      <c r="AL310" s="1"/>
      <c r="AM310" s="1"/>
      <c r="AN310" s="1"/>
      <c r="AO310" s="1">
        <v>12</v>
      </c>
      <c r="AP310" s="1">
        <v>10.1</v>
      </c>
      <c r="AQ310" s="1"/>
      <c r="AR310" s="1">
        <f>AVERAGE(AN310:AP310)</f>
        <v>11.05</v>
      </c>
      <c r="AS310" s="12">
        <f>AVERAGE(AN310:AQ310)</f>
        <v>11.05</v>
      </c>
      <c r="AT310" s="1"/>
      <c r="AU310" s="1"/>
      <c r="AV310" s="1"/>
      <c r="AW310" s="1"/>
      <c r="AX310" s="1"/>
      <c r="AY310" s="1"/>
      <c r="AZ310" s="1">
        <v>3.2</v>
      </c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>
        <f>AVERAGE(AV310:BI310)</f>
        <v>3.2</v>
      </c>
      <c r="BN310" s="12">
        <f>AVERAGE(AT310:BK310)</f>
        <v>3.2</v>
      </c>
      <c r="BO310" s="1"/>
      <c r="BP310" s="1"/>
      <c r="BQ310" s="1"/>
      <c r="BR310" s="1">
        <v>184</v>
      </c>
      <c r="BS310" s="1"/>
      <c r="BT310" s="1"/>
      <c r="BU310" s="1"/>
      <c r="BV310" s="1">
        <v>184</v>
      </c>
      <c r="BW310" s="1"/>
      <c r="BX310" s="1"/>
      <c r="BY310" s="1">
        <f>AVERAGE(BR310:BU310)</f>
        <v>184</v>
      </c>
      <c r="BZ310" s="1">
        <f>BY310/1000</f>
        <v>0.184</v>
      </c>
      <c r="CA310" s="1">
        <f>AVERAGE(BQ310:BU310)</f>
        <v>184</v>
      </c>
      <c r="CB310" s="12">
        <f>CA310/1000</f>
        <v>0.184</v>
      </c>
      <c r="CC310" s="13">
        <f t="shared" si="80"/>
        <v>0.58879999999999999</v>
      </c>
      <c r="CD310" s="6"/>
      <c r="CE310" s="6"/>
      <c r="CF310" s="6"/>
      <c r="CG310" s="6"/>
      <c r="CH310" s="6"/>
      <c r="CI310" s="6"/>
      <c r="CJ310" s="13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</row>
    <row r="311" spans="1:160" x14ac:dyDescent="0.3">
      <c r="A311" s="6" t="s">
        <v>305</v>
      </c>
      <c r="B311" s="10" t="s">
        <v>305</v>
      </c>
      <c r="C311" s="10" t="s">
        <v>536</v>
      </c>
      <c r="D311" s="6" t="s">
        <v>536</v>
      </c>
      <c r="E311" s="7"/>
      <c r="F311" s="7"/>
      <c r="G311" s="7"/>
      <c r="H311" s="7"/>
      <c r="I311" s="1"/>
      <c r="J311" s="1"/>
      <c r="K311" s="1"/>
      <c r="L311" s="1"/>
      <c r="M311" s="1"/>
      <c r="N311" s="1"/>
      <c r="O311" s="1"/>
      <c r="P311" s="1"/>
      <c r="Q311" s="12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2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2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2"/>
      <c r="CC311" s="13">
        <f t="shared" si="80"/>
        <v>0</v>
      </c>
      <c r="CD311" s="6"/>
      <c r="CE311" s="6"/>
      <c r="CF311" s="6"/>
      <c r="CG311" s="6"/>
      <c r="CH311" s="6"/>
      <c r="CI311" s="6"/>
      <c r="CJ311" s="13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</row>
    <row r="312" spans="1:160" x14ac:dyDescent="0.3">
      <c r="A312" s="6" t="s">
        <v>305</v>
      </c>
      <c r="B312" s="10" t="s">
        <v>305</v>
      </c>
      <c r="C312" s="10" t="s">
        <v>537</v>
      </c>
      <c r="D312" s="6" t="s">
        <v>538</v>
      </c>
      <c r="E312" s="7"/>
      <c r="F312" s="7"/>
      <c r="G312" s="7"/>
      <c r="H312" s="7"/>
      <c r="I312" s="1"/>
      <c r="J312" s="1"/>
      <c r="K312" s="1"/>
      <c r="L312" s="1"/>
      <c r="M312" s="1"/>
      <c r="N312" s="1"/>
      <c r="O312" s="1"/>
      <c r="P312" s="1"/>
      <c r="Q312" s="12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2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2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2"/>
      <c r="CC312" s="13">
        <f t="shared" si="80"/>
        <v>0</v>
      </c>
      <c r="CD312" s="6"/>
      <c r="CE312" s="6"/>
      <c r="CF312" s="6"/>
      <c r="CG312" s="6"/>
      <c r="CH312" s="6"/>
      <c r="CI312" s="6"/>
      <c r="CJ312" s="13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</row>
    <row r="313" spans="1:160" x14ac:dyDescent="0.3">
      <c r="A313" s="6" t="s">
        <v>305</v>
      </c>
      <c r="B313" s="10" t="s">
        <v>305</v>
      </c>
      <c r="C313" s="10" t="s">
        <v>539</v>
      </c>
      <c r="D313" s="6" t="s">
        <v>539</v>
      </c>
      <c r="E313" s="7">
        <v>13.607760000000001</v>
      </c>
      <c r="F313" s="7">
        <v>27.215520000000001</v>
      </c>
      <c r="G313" s="7"/>
      <c r="H313" s="7"/>
      <c r="I313" s="1"/>
      <c r="J313" s="1"/>
      <c r="K313" s="1"/>
      <c r="L313" s="1"/>
      <c r="M313" s="1"/>
      <c r="N313" s="1"/>
      <c r="O313" s="1"/>
      <c r="P313" s="1"/>
      <c r="Q313" s="12">
        <v>20.411639999999998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>
        <f>AVERAGE(E313:P313)</f>
        <v>20.411640000000002</v>
      </c>
      <c r="AF313" s="1"/>
      <c r="AG313" s="1">
        <f>AVERAGE(AE313:AF313)</f>
        <v>20.411640000000002</v>
      </c>
      <c r="AH313" s="1">
        <v>11</v>
      </c>
      <c r="AI313" s="1">
        <v>13</v>
      </c>
      <c r="AJ313" s="1"/>
      <c r="AK313" s="1"/>
      <c r="AL313" s="1">
        <v>12</v>
      </c>
      <c r="AM313" s="1"/>
      <c r="AN313" s="1"/>
      <c r="AO313" s="1"/>
      <c r="AP313" s="1"/>
      <c r="AQ313" s="1">
        <f>AVERAGE(AH313:AK313)</f>
        <v>12</v>
      </c>
      <c r="AR313" s="1"/>
      <c r="AS313" s="12">
        <f>AVERAGE(AN313:AQ313)</f>
        <v>12</v>
      </c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2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2"/>
      <c r="CC313" s="13">
        <f t="shared" si="80"/>
        <v>0</v>
      </c>
      <c r="CD313" s="6"/>
      <c r="CE313" s="6"/>
      <c r="CF313" s="6"/>
      <c r="CG313" s="6"/>
      <c r="CH313" s="6"/>
      <c r="CI313" s="6"/>
      <c r="CJ313" s="13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</row>
    <row r="314" spans="1:160" x14ac:dyDescent="0.3">
      <c r="A314" s="6" t="s">
        <v>305</v>
      </c>
      <c r="B314" s="10" t="s">
        <v>305</v>
      </c>
      <c r="C314" s="10" t="s">
        <v>540</v>
      </c>
      <c r="D314" s="6" t="s">
        <v>540</v>
      </c>
      <c r="E314" s="7">
        <v>18.14368</v>
      </c>
      <c r="F314" s="7">
        <v>27.215520000000001</v>
      </c>
      <c r="G314" s="7"/>
      <c r="H314" s="7"/>
      <c r="I314" s="1"/>
      <c r="J314" s="1"/>
      <c r="K314" s="1"/>
      <c r="L314" s="1"/>
      <c r="M314" s="1"/>
      <c r="N314" s="1"/>
      <c r="O314" s="1"/>
      <c r="P314" s="1"/>
      <c r="Q314" s="12">
        <v>22.679600000000001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>
        <f>AVERAGE(E314:P314)</f>
        <v>22.679600000000001</v>
      </c>
      <c r="AF314" s="1"/>
      <c r="AG314" s="1">
        <f>AVERAGE(AE314:AF314)</f>
        <v>22.679600000000001</v>
      </c>
      <c r="AH314" s="1">
        <v>12</v>
      </c>
      <c r="AI314" s="1">
        <v>14</v>
      </c>
      <c r="AJ314" s="1"/>
      <c r="AK314" s="1"/>
      <c r="AL314" s="1">
        <v>13</v>
      </c>
      <c r="AM314" s="1"/>
      <c r="AN314" s="1"/>
      <c r="AO314" s="1"/>
      <c r="AP314" s="1"/>
      <c r="AQ314" s="1">
        <f>AVERAGE(AH314:AK314)</f>
        <v>13</v>
      </c>
      <c r="AR314" s="1"/>
      <c r="AS314" s="12">
        <f>AVERAGE(AN314:AQ314)</f>
        <v>13</v>
      </c>
      <c r="AT314" s="1"/>
      <c r="AU314" s="1"/>
      <c r="AV314" s="1"/>
      <c r="AW314" s="1"/>
      <c r="AX314" s="1"/>
      <c r="AY314" s="1"/>
      <c r="AZ314" s="1">
        <v>6.9</v>
      </c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>
        <f>AVERAGE(AV314:BI314)</f>
        <v>6.9</v>
      </c>
      <c r="BN314" s="12">
        <f>AVERAGE(AT314:BK314)</f>
        <v>6.9</v>
      </c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2"/>
      <c r="CC314" s="13">
        <f t="shared" si="80"/>
        <v>0</v>
      </c>
      <c r="CD314" s="6"/>
      <c r="CE314" s="6"/>
      <c r="CF314" s="6"/>
      <c r="CG314" s="6"/>
      <c r="CH314" s="6"/>
      <c r="CI314" s="6"/>
      <c r="CJ314" s="13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</row>
    <row r="315" spans="1:160" x14ac:dyDescent="0.3">
      <c r="A315" s="6" t="s">
        <v>305</v>
      </c>
      <c r="B315" s="10" t="s">
        <v>305</v>
      </c>
      <c r="C315" s="10" t="s">
        <v>541</v>
      </c>
      <c r="D315" s="6" t="s">
        <v>541</v>
      </c>
      <c r="E315" s="7">
        <v>9.0718399999999999</v>
      </c>
      <c r="F315" s="7">
        <v>13.607760000000001</v>
      </c>
      <c r="G315" s="7"/>
      <c r="H315" s="7"/>
      <c r="I315" s="1"/>
      <c r="J315" s="1"/>
      <c r="K315" s="1"/>
      <c r="L315" s="1"/>
      <c r="M315" s="1"/>
      <c r="N315" s="1"/>
      <c r="O315" s="1"/>
      <c r="P315" s="1"/>
      <c r="Q315" s="12">
        <v>11.3398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>
        <f>AVERAGE(E315:P315)</f>
        <v>11.3398</v>
      </c>
      <c r="AF315" s="1"/>
      <c r="AG315" s="1">
        <f>AVERAGE(AE315:AF315)</f>
        <v>11.3398</v>
      </c>
      <c r="AH315" s="1">
        <v>12</v>
      </c>
      <c r="AI315" s="1">
        <v>15</v>
      </c>
      <c r="AJ315" s="1"/>
      <c r="AK315" s="1"/>
      <c r="AL315" s="1">
        <v>13.5</v>
      </c>
      <c r="AM315" s="1"/>
      <c r="AN315" s="1"/>
      <c r="AO315" s="1"/>
      <c r="AP315" s="1"/>
      <c r="AQ315" s="1">
        <f>AVERAGE(AH315:AK315)</f>
        <v>13.5</v>
      </c>
      <c r="AR315" s="1"/>
      <c r="AS315" s="12">
        <f>AVERAGE(AN315:AQ315)</f>
        <v>13.5</v>
      </c>
      <c r="AT315" s="1"/>
      <c r="AU315" s="1"/>
      <c r="AV315" s="1"/>
      <c r="AW315" s="1"/>
      <c r="AX315" s="1"/>
      <c r="AY315" s="1"/>
      <c r="AZ315" s="1">
        <v>5.6</v>
      </c>
      <c r="BA315" s="1">
        <v>4.87</v>
      </c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>
        <f>AVERAGE(AV315:BI315)</f>
        <v>5.2349999999999994</v>
      </c>
      <c r="BN315" s="12">
        <f>AVERAGE(AT315:BK315)</f>
        <v>5.2349999999999994</v>
      </c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2"/>
      <c r="CC315" s="13">
        <f t="shared" si="80"/>
        <v>0</v>
      </c>
      <c r="CD315" s="6"/>
      <c r="CE315" s="6"/>
      <c r="CF315" s="6"/>
      <c r="CG315" s="6"/>
      <c r="CH315" s="6"/>
      <c r="CI315" s="6"/>
      <c r="CJ315" s="13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</row>
    <row r="316" spans="1:160" x14ac:dyDescent="0.3">
      <c r="A316" s="6" t="s">
        <v>305</v>
      </c>
      <c r="B316" s="10" t="s">
        <v>305</v>
      </c>
      <c r="C316" s="10" t="s">
        <v>542</v>
      </c>
      <c r="D316" s="6" t="s">
        <v>542</v>
      </c>
      <c r="E316" s="7">
        <v>13.607760000000001</v>
      </c>
      <c r="F316" s="7">
        <v>22.679600000000001</v>
      </c>
      <c r="G316" s="7"/>
      <c r="H316" s="7"/>
      <c r="I316" s="1"/>
      <c r="J316" s="1"/>
      <c r="K316" s="1"/>
      <c r="L316" s="1"/>
      <c r="M316" s="1"/>
      <c r="N316" s="1"/>
      <c r="O316" s="1"/>
      <c r="P316" s="1"/>
      <c r="Q316" s="12">
        <v>18.14368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>
        <f>AVERAGE(E316:P316)</f>
        <v>18.14368</v>
      </c>
      <c r="AF316" s="1"/>
      <c r="AG316" s="1">
        <f>AVERAGE(AE316:AF316)</f>
        <v>18.14368</v>
      </c>
      <c r="AH316" s="1">
        <v>14</v>
      </c>
      <c r="AI316" s="1">
        <v>14</v>
      </c>
      <c r="AJ316" s="1"/>
      <c r="AK316" s="1"/>
      <c r="AL316" s="1">
        <v>14</v>
      </c>
      <c r="AM316" s="1"/>
      <c r="AN316" s="1"/>
      <c r="AO316" s="1"/>
      <c r="AP316" s="1"/>
      <c r="AQ316" s="1">
        <f>AVERAGE(AH316:AK316)</f>
        <v>14</v>
      </c>
      <c r="AR316" s="1"/>
      <c r="AS316" s="12">
        <f>AVERAGE(AN316:AQ316)</f>
        <v>14</v>
      </c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2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2"/>
      <c r="CC316" s="13">
        <f t="shared" si="80"/>
        <v>0</v>
      </c>
      <c r="CD316" s="6"/>
      <c r="CE316" s="6"/>
      <c r="CF316" s="6"/>
      <c r="CG316" s="6"/>
      <c r="CH316" s="6"/>
      <c r="CI316" s="6"/>
      <c r="CJ316" s="13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</row>
    <row r="317" spans="1:160" x14ac:dyDescent="0.3">
      <c r="A317" s="6" t="s">
        <v>305</v>
      </c>
      <c r="B317" s="10" t="s">
        <v>305</v>
      </c>
      <c r="C317" s="10" t="s">
        <v>543</v>
      </c>
      <c r="D317" s="6" t="s">
        <v>543</v>
      </c>
      <c r="E317" s="7">
        <v>9.0718399999999999</v>
      </c>
      <c r="F317" s="7">
        <v>15.875719999999999</v>
      </c>
      <c r="G317" s="7"/>
      <c r="H317" s="7"/>
      <c r="I317" s="1"/>
      <c r="J317" s="1"/>
      <c r="K317" s="1"/>
      <c r="L317" s="1"/>
      <c r="M317" s="1"/>
      <c r="N317" s="1"/>
      <c r="O317" s="1"/>
      <c r="P317" s="1"/>
      <c r="Q317" s="12">
        <v>12.47378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>
        <f>AVERAGE(E317:P317)</f>
        <v>12.47378</v>
      </c>
      <c r="AF317" s="1"/>
      <c r="AG317" s="1">
        <f>AVERAGE(AE317:AF317)</f>
        <v>12.47378</v>
      </c>
      <c r="AH317" s="1">
        <v>13</v>
      </c>
      <c r="AI317" s="1">
        <v>15</v>
      </c>
      <c r="AJ317" s="1"/>
      <c r="AK317" s="1"/>
      <c r="AL317" s="1">
        <v>14</v>
      </c>
      <c r="AM317" s="1"/>
      <c r="AN317" s="1"/>
      <c r="AO317" s="1"/>
      <c r="AP317" s="1"/>
      <c r="AQ317" s="1">
        <f>AVERAGE(AH317:AK317)</f>
        <v>14</v>
      </c>
      <c r="AR317" s="1"/>
      <c r="AS317" s="12">
        <f>AVERAGE(AN317:AQ317)</f>
        <v>14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2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2"/>
      <c r="CC317" s="13">
        <f t="shared" si="80"/>
        <v>0</v>
      </c>
      <c r="CD317" s="6"/>
      <c r="CE317" s="6"/>
      <c r="CF317" s="6"/>
      <c r="CG317" s="6"/>
      <c r="CH317" s="6"/>
      <c r="CI317" s="6"/>
      <c r="CJ317" s="13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</row>
    <row r="318" spans="1:160" x14ac:dyDescent="0.3">
      <c r="A318" s="6" t="s">
        <v>305</v>
      </c>
      <c r="B318" s="10" t="s">
        <v>305</v>
      </c>
      <c r="C318" s="10" t="s">
        <v>544</v>
      </c>
      <c r="D318" s="6" t="s">
        <v>544</v>
      </c>
      <c r="E318" s="7"/>
      <c r="F318" s="7"/>
      <c r="G318" s="7"/>
      <c r="H318" s="7"/>
      <c r="I318" s="1"/>
      <c r="J318" s="1"/>
      <c r="K318" s="1"/>
      <c r="L318" s="1"/>
      <c r="M318" s="1"/>
      <c r="N318" s="1"/>
      <c r="O318" s="1"/>
      <c r="P318" s="1"/>
      <c r="Q318" s="12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2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2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2"/>
      <c r="CC318" s="13">
        <f t="shared" si="80"/>
        <v>0</v>
      </c>
      <c r="CD318" s="6"/>
      <c r="CE318" s="6"/>
      <c r="CF318" s="6"/>
      <c r="CG318" s="6"/>
      <c r="CH318" s="6"/>
      <c r="CI318" s="6"/>
      <c r="CJ318" s="13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</row>
    <row r="319" spans="1:160" x14ac:dyDescent="0.3">
      <c r="A319" s="6" t="s">
        <v>305</v>
      </c>
      <c r="B319" s="10" t="s">
        <v>305</v>
      </c>
      <c r="C319" s="10" t="s">
        <v>545</v>
      </c>
      <c r="D319" s="6" t="s">
        <v>545</v>
      </c>
      <c r="E319" s="7"/>
      <c r="F319" s="7"/>
      <c r="G319" s="7"/>
      <c r="H319" s="7"/>
      <c r="I319" s="1">
        <v>7.7110640000000004</v>
      </c>
      <c r="J319" s="1"/>
      <c r="K319" s="1">
        <v>7.5</v>
      </c>
      <c r="L319" s="1"/>
      <c r="M319" s="1"/>
      <c r="N319" s="1"/>
      <c r="O319" s="1">
        <v>7</v>
      </c>
      <c r="P319" s="1"/>
      <c r="Q319" s="12">
        <v>7.7110640000000004</v>
      </c>
      <c r="R319" s="1">
        <v>7.7110640000000004</v>
      </c>
      <c r="S319" s="1"/>
      <c r="T319" s="1">
        <v>7.25</v>
      </c>
      <c r="U319" s="1">
        <v>7.5</v>
      </c>
      <c r="V319" s="1">
        <v>7</v>
      </c>
      <c r="W319" s="1"/>
      <c r="X319" s="1"/>
      <c r="Y319" s="1"/>
      <c r="Z319" s="1"/>
      <c r="AA319" s="1"/>
      <c r="AB319" s="1"/>
      <c r="AC319" s="1"/>
      <c r="AD319" s="1"/>
      <c r="AE319" s="1">
        <f>AVERAGE(E319:P319)</f>
        <v>7.4036879999999998</v>
      </c>
      <c r="AF319" s="1"/>
      <c r="AG319" s="1">
        <f>AVERAGE(AE319:AF319)</f>
        <v>7.4036879999999998</v>
      </c>
      <c r="AH319" s="1">
        <v>12</v>
      </c>
      <c r="AI319" s="1">
        <v>15</v>
      </c>
      <c r="AJ319" s="1">
        <v>13</v>
      </c>
      <c r="AK319" s="1">
        <v>14</v>
      </c>
      <c r="AL319" s="1">
        <v>13.5</v>
      </c>
      <c r="AM319" s="1">
        <v>13.5</v>
      </c>
      <c r="AN319" s="1"/>
      <c r="AO319" s="1"/>
      <c r="AP319" s="1"/>
      <c r="AQ319" s="1">
        <f>AVERAGE(AH319:AK319)</f>
        <v>13.5</v>
      </c>
      <c r="AR319" s="1"/>
      <c r="AS319" s="12">
        <f>AVERAGE(AN319:AQ319)</f>
        <v>13.5</v>
      </c>
      <c r="AT319" s="1">
        <v>3.5</v>
      </c>
      <c r="AU319" s="1"/>
      <c r="AV319" s="1"/>
      <c r="AW319" s="1"/>
      <c r="AX319" s="1"/>
      <c r="AY319" s="1"/>
      <c r="AZ319" s="1">
        <v>2</v>
      </c>
      <c r="BA319" s="1"/>
      <c r="BB319" s="1"/>
      <c r="BC319" s="1"/>
      <c r="BD319" s="1"/>
      <c r="BE319" s="1">
        <v>5</v>
      </c>
      <c r="BF319" s="1"/>
      <c r="BG319" s="1"/>
      <c r="BH319" s="1"/>
      <c r="BI319" s="1"/>
      <c r="BJ319" s="1"/>
      <c r="BK319" s="1"/>
      <c r="BL319" s="1">
        <f>AVERAGE(AT319:AU319)</f>
        <v>3.5</v>
      </c>
      <c r="BM319" s="1">
        <f>AVERAGE(AV319:BI319)</f>
        <v>3.5</v>
      </c>
      <c r="BN319" s="12">
        <f>AVERAGE(AT319:BK319)</f>
        <v>3.5</v>
      </c>
      <c r="BO319" s="1"/>
      <c r="BP319" s="1"/>
      <c r="BQ319" s="1"/>
      <c r="BR319" s="1"/>
      <c r="BS319" s="1"/>
      <c r="BT319" s="1">
        <v>209</v>
      </c>
      <c r="BU319" s="1"/>
      <c r="BV319" s="1"/>
      <c r="BW319" s="1"/>
      <c r="BX319" s="1"/>
      <c r="BY319" s="1">
        <f>AVERAGE(BR319:BU319)</f>
        <v>209</v>
      </c>
      <c r="BZ319" s="1">
        <f>BY319/1000</f>
        <v>0.20899999999999999</v>
      </c>
      <c r="CA319" s="1">
        <f>AVERAGE(BQ319:BU319)</f>
        <v>209</v>
      </c>
      <c r="CB319" s="12">
        <f>CA319/1000</f>
        <v>0.20899999999999999</v>
      </c>
      <c r="CC319" s="13">
        <f t="shared" si="80"/>
        <v>0.73149999999999993</v>
      </c>
      <c r="CD319" s="6"/>
      <c r="CE319" s="6"/>
      <c r="CF319" s="6"/>
      <c r="CG319" s="6"/>
      <c r="CH319" s="6"/>
      <c r="CI319" s="6"/>
      <c r="CJ319" s="13">
        <f>((Q319-CB319)/CB319)*100</f>
        <v>3589.5043062200962</v>
      </c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</row>
    <row r="320" spans="1:160" x14ac:dyDescent="0.3">
      <c r="A320" s="6" t="s">
        <v>305</v>
      </c>
      <c r="B320" s="10" t="s">
        <v>305</v>
      </c>
      <c r="C320" s="10" t="s">
        <v>546</v>
      </c>
      <c r="D320" s="6" t="s">
        <v>546</v>
      </c>
      <c r="E320" s="7">
        <v>4.0823280000000004</v>
      </c>
      <c r="F320" s="7">
        <v>7.7110640000000004</v>
      </c>
      <c r="G320" s="7"/>
      <c r="H320" s="7"/>
      <c r="I320" s="1"/>
      <c r="J320" s="1"/>
      <c r="K320" s="1"/>
      <c r="L320" s="1"/>
      <c r="M320" s="1"/>
      <c r="N320" s="1"/>
      <c r="O320" s="1"/>
      <c r="P320" s="1"/>
      <c r="Q320" s="12">
        <v>5.8966960000000004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>
        <f>AVERAGE(E320:P320)</f>
        <v>5.8966960000000004</v>
      </c>
      <c r="AF320" s="1"/>
      <c r="AG320" s="1">
        <f>AVERAGE(AE320:AF320)</f>
        <v>5.8966960000000004</v>
      </c>
      <c r="AH320" s="1">
        <v>12</v>
      </c>
      <c r="AI320" s="1">
        <v>15</v>
      </c>
      <c r="AJ320" s="1"/>
      <c r="AK320" s="1"/>
      <c r="AL320" s="1">
        <v>13.5</v>
      </c>
      <c r="AM320" s="1"/>
      <c r="AN320" s="1"/>
      <c r="AO320" s="1"/>
      <c r="AP320" s="1"/>
      <c r="AQ320" s="1">
        <f>AVERAGE(AH320:AK320)</f>
        <v>13.5</v>
      </c>
      <c r="AR320" s="1"/>
      <c r="AS320" s="12">
        <f>AVERAGE(AN320:AQ320)</f>
        <v>13.5</v>
      </c>
      <c r="AT320" s="1"/>
      <c r="AU320" s="1"/>
      <c r="AV320" s="1"/>
      <c r="AW320" s="1"/>
      <c r="AX320" s="1"/>
      <c r="AY320" s="1"/>
      <c r="AZ320" s="1">
        <v>5.5</v>
      </c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>
        <f>AVERAGE(AV320:BI320)</f>
        <v>5.5</v>
      </c>
      <c r="BN320" s="12">
        <f>AVERAGE(AT320:BK320)</f>
        <v>5.5</v>
      </c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2"/>
      <c r="CC320" s="13">
        <f t="shared" si="80"/>
        <v>0</v>
      </c>
      <c r="CD320" s="6"/>
      <c r="CE320" s="6"/>
      <c r="CF320" s="6"/>
      <c r="CG320" s="6"/>
      <c r="CH320" s="6"/>
      <c r="CI320" s="6"/>
      <c r="CJ320" s="13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</row>
    <row r="321" spans="1:160" x14ac:dyDescent="0.3">
      <c r="A321" s="6" t="s">
        <v>305</v>
      </c>
      <c r="B321" s="10" t="s">
        <v>305</v>
      </c>
      <c r="C321" s="10" t="s">
        <v>547</v>
      </c>
      <c r="D321" s="6" t="s">
        <v>547</v>
      </c>
      <c r="E321" s="7"/>
      <c r="F321" s="7"/>
      <c r="G321" s="7"/>
      <c r="H321" s="7"/>
      <c r="I321" s="1"/>
      <c r="J321" s="1"/>
      <c r="K321" s="1"/>
      <c r="L321" s="1"/>
      <c r="M321" s="1"/>
      <c r="N321" s="1"/>
      <c r="O321" s="1"/>
      <c r="P321" s="1"/>
      <c r="Q321" s="12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2"/>
      <c r="AT321" s="1"/>
      <c r="AU321" s="1"/>
      <c r="AV321" s="1"/>
      <c r="AW321" s="1"/>
      <c r="AX321" s="1"/>
      <c r="AY321" s="1"/>
      <c r="AZ321" s="1">
        <v>4.5</v>
      </c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>
        <f>AVERAGE(AV321:BI321)</f>
        <v>4.5</v>
      </c>
      <c r="BN321" s="12">
        <f>AVERAGE(AT321:BK321)</f>
        <v>4.5</v>
      </c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2"/>
      <c r="CC321" s="13">
        <f t="shared" si="80"/>
        <v>0</v>
      </c>
      <c r="CD321" s="6"/>
      <c r="CE321" s="6"/>
      <c r="CF321" s="6"/>
      <c r="CG321" s="6"/>
      <c r="CH321" s="6"/>
      <c r="CI321" s="6"/>
      <c r="CJ321" s="13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</row>
    <row r="322" spans="1:160" x14ac:dyDescent="0.3">
      <c r="A322" s="6" t="s">
        <v>305</v>
      </c>
      <c r="B322" s="10" t="s">
        <v>305</v>
      </c>
      <c r="C322" s="10" t="s">
        <v>548</v>
      </c>
      <c r="D322" s="6" t="s">
        <v>548</v>
      </c>
      <c r="E322" s="7">
        <v>31.751439999999999</v>
      </c>
      <c r="F322" s="7">
        <v>31.751439999999999</v>
      </c>
      <c r="G322" s="7"/>
      <c r="H322" s="7"/>
      <c r="I322" s="1"/>
      <c r="J322" s="1"/>
      <c r="K322" s="1"/>
      <c r="L322" s="1"/>
      <c r="M322" s="1"/>
      <c r="N322" s="1"/>
      <c r="O322" s="1"/>
      <c r="P322" s="1"/>
      <c r="Q322" s="12">
        <v>31.751439999999999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>
        <f>AVERAGE(E322:P322)</f>
        <v>31.751439999999999</v>
      </c>
      <c r="AF322" s="1"/>
      <c r="AG322" s="1">
        <f>AVERAGE(AE322:AF322)</f>
        <v>31.751439999999999</v>
      </c>
      <c r="AH322" s="1">
        <v>10</v>
      </c>
      <c r="AI322" s="1">
        <v>14</v>
      </c>
      <c r="AJ322" s="1"/>
      <c r="AK322" s="1"/>
      <c r="AL322" s="1">
        <v>12</v>
      </c>
      <c r="AM322" s="1"/>
      <c r="AN322" s="1"/>
      <c r="AO322" s="1"/>
      <c r="AP322" s="1"/>
      <c r="AQ322" s="1">
        <f>AVERAGE(AH322:AK322)</f>
        <v>12</v>
      </c>
      <c r="AR322" s="1"/>
      <c r="AS322" s="12">
        <f>AVERAGE(AN322:AQ322)</f>
        <v>12</v>
      </c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2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2"/>
      <c r="CC322" s="13">
        <f t="shared" si="80"/>
        <v>0</v>
      </c>
      <c r="CD322" s="6"/>
      <c r="CE322" s="6"/>
      <c r="CF322" s="6"/>
      <c r="CG322" s="6"/>
      <c r="CH322" s="6"/>
      <c r="CI322" s="6"/>
      <c r="CJ322" s="13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</row>
    <row r="323" spans="1:160" x14ac:dyDescent="0.3">
      <c r="A323" s="6" t="s">
        <v>305</v>
      </c>
      <c r="B323" s="10" t="s">
        <v>305</v>
      </c>
      <c r="C323" s="10" t="s">
        <v>549</v>
      </c>
      <c r="D323" s="6" t="s">
        <v>549</v>
      </c>
      <c r="E323" s="7">
        <v>6.8038800000000004</v>
      </c>
      <c r="F323" s="7"/>
      <c r="G323" s="7">
        <v>4</v>
      </c>
      <c r="H323" s="7">
        <v>8</v>
      </c>
      <c r="I323" s="1"/>
      <c r="J323" s="1"/>
      <c r="K323" s="1"/>
      <c r="L323" s="1"/>
      <c r="M323" s="1"/>
      <c r="N323" s="1"/>
      <c r="O323" s="1"/>
      <c r="P323" s="1"/>
      <c r="Q323" s="12">
        <v>6.8038800000000004</v>
      </c>
      <c r="R323" s="1"/>
      <c r="S323" s="1"/>
      <c r="T323" s="1">
        <v>6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>
        <f>AVERAGE(E323:P323)</f>
        <v>6.2679599999999995</v>
      </c>
      <c r="AF323" s="1"/>
      <c r="AG323" s="1">
        <f>AVERAGE(AE323:AF323)</f>
        <v>6.2679599999999995</v>
      </c>
      <c r="AH323" s="1">
        <v>13</v>
      </c>
      <c r="AI323" s="1">
        <v>15</v>
      </c>
      <c r="AJ323" s="1">
        <v>13</v>
      </c>
      <c r="AK323" s="1">
        <v>14</v>
      </c>
      <c r="AL323" s="1">
        <v>14</v>
      </c>
      <c r="AM323" s="1">
        <v>13.5</v>
      </c>
      <c r="AN323" s="1"/>
      <c r="AO323" s="1"/>
      <c r="AP323" s="1"/>
      <c r="AQ323" s="1">
        <f>AVERAGE(AH323:AK323)</f>
        <v>13.75</v>
      </c>
      <c r="AR323" s="1"/>
      <c r="AS323" s="12">
        <f>AVERAGE(AN323:AQ323)</f>
        <v>13.75</v>
      </c>
      <c r="AT323" s="1"/>
      <c r="AU323" s="1"/>
      <c r="AV323" s="1"/>
      <c r="AW323" s="1"/>
      <c r="AX323" s="1"/>
      <c r="AY323" s="1">
        <v>4</v>
      </c>
      <c r="AZ323" s="1"/>
      <c r="BA323" s="1"/>
      <c r="BB323" s="1"/>
      <c r="BC323" s="1"/>
      <c r="BD323" s="1"/>
      <c r="BE323" s="1">
        <v>4</v>
      </c>
      <c r="BF323" s="1"/>
      <c r="BG323" s="1"/>
      <c r="BH323" s="1"/>
      <c r="BI323" s="1"/>
      <c r="BJ323" s="1"/>
      <c r="BK323" s="1"/>
      <c r="BL323" s="1"/>
      <c r="BM323" s="1">
        <f>AVERAGE(AV323:BI323)</f>
        <v>4</v>
      </c>
      <c r="BN323" s="12">
        <f>AVERAGE(AT323:BK323)</f>
        <v>4</v>
      </c>
      <c r="BO323" s="1"/>
      <c r="BP323" s="1"/>
      <c r="BQ323" s="1"/>
      <c r="BR323" s="1"/>
      <c r="BS323" s="1"/>
      <c r="BT323" s="1">
        <v>190</v>
      </c>
      <c r="BU323" s="1"/>
      <c r="BV323" s="1"/>
      <c r="BW323" s="1"/>
      <c r="BX323" s="1"/>
      <c r="BY323" s="1">
        <f>AVERAGE(BR323:BU323)</f>
        <v>190</v>
      </c>
      <c r="BZ323" s="1">
        <f>BY323/1000</f>
        <v>0.19</v>
      </c>
      <c r="CA323" s="1">
        <f>AVERAGE(BQ323:BU323)</f>
        <v>190</v>
      </c>
      <c r="CB323" s="12">
        <f>CA323/1000</f>
        <v>0.19</v>
      </c>
      <c r="CC323" s="13">
        <f t="shared" si="80"/>
        <v>0.76</v>
      </c>
      <c r="CD323" s="6"/>
      <c r="CE323" s="6"/>
      <c r="CF323" s="6"/>
      <c r="CG323" s="6"/>
      <c r="CH323" s="6"/>
      <c r="CI323" s="6"/>
      <c r="CJ323" s="13">
        <f>((Q323-CB323)/CB323)*100</f>
        <v>3480.9894736842102</v>
      </c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</row>
    <row r="324" spans="1:160" x14ac:dyDescent="0.3">
      <c r="A324" s="6" t="s">
        <v>305</v>
      </c>
      <c r="B324" s="10" t="s">
        <v>305</v>
      </c>
      <c r="C324" s="10" t="s">
        <v>550</v>
      </c>
      <c r="D324" s="6" t="s">
        <v>550</v>
      </c>
      <c r="E324" s="7"/>
      <c r="F324" s="7"/>
      <c r="G324" s="7"/>
      <c r="H324" s="7"/>
      <c r="I324" s="1"/>
      <c r="J324" s="1"/>
      <c r="K324" s="1"/>
      <c r="L324" s="1"/>
      <c r="M324" s="1"/>
      <c r="N324" s="1"/>
      <c r="O324" s="1"/>
      <c r="P324" s="1"/>
      <c r="Q324" s="12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2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2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2"/>
      <c r="CC324" s="13">
        <f t="shared" si="80"/>
        <v>0</v>
      </c>
      <c r="CD324" s="6"/>
      <c r="CE324" s="6"/>
      <c r="CF324" s="6"/>
      <c r="CG324" s="6"/>
      <c r="CH324" s="6"/>
      <c r="CI324" s="6"/>
      <c r="CJ324" s="13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</row>
    <row r="325" spans="1:160" x14ac:dyDescent="0.3">
      <c r="A325" s="6" t="s">
        <v>305</v>
      </c>
      <c r="B325" s="10" t="s">
        <v>305</v>
      </c>
      <c r="C325" s="10" t="s">
        <v>551</v>
      </c>
      <c r="D325" s="6" t="s">
        <v>552</v>
      </c>
      <c r="E325" s="7"/>
      <c r="F325" s="7"/>
      <c r="G325" s="7"/>
      <c r="H325" s="7"/>
      <c r="I325" s="1"/>
      <c r="J325" s="1"/>
      <c r="K325" s="1"/>
      <c r="L325" s="1"/>
      <c r="M325" s="1"/>
      <c r="N325" s="1"/>
      <c r="O325" s="1"/>
      <c r="P325" s="1"/>
      <c r="Q325" s="12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2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2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2"/>
      <c r="CC325" s="13">
        <f t="shared" si="80"/>
        <v>0</v>
      </c>
      <c r="CD325" s="6"/>
      <c r="CE325" s="6"/>
      <c r="CF325" s="6"/>
      <c r="CG325" s="6"/>
      <c r="CH325" s="6"/>
      <c r="CI325" s="6"/>
      <c r="CJ325" s="13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</row>
    <row r="326" spans="1:160" x14ac:dyDescent="0.3">
      <c r="A326" s="6" t="s">
        <v>305</v>
      </c>
      <c r="B326" s="10" t="s">
        <v>305</v>
      </c>
      <c r="C326" s="10" t="s">
        <v>553</v>
      </c>
      <c r="D326" s="6" t="s">
        <v>553</v>
      </c>
      <c r="E326" s="7">
        <v>5.4431039999999999</v>
      </c>
      <c r="F326" s="7">
        <v>9.9790240000000008</v>
      </c>
      <c r="G326" s="7">
        <v>5.5</v>
      </c>
      <c r="H326" s="7">
        <v>10</v>
      </c>
      <c r="I326" s="1"/>
      <c r="J326" s="1"/>
      <c r="K326" s="1"/>
      <c r="L326" s="1"/>
      <c r="M326" s="1"/>
      <c r="N326" s="1"/>
      <c r="O326" s="1"/>
      <c r="P326" s="1"/>
      <c r="Q326" s="12">
        <v>7.7110640000000004</v>
      </c>
      <c r="R326" s="1"/>
      <c r="S326" s="1"/>
      <c r="T326" s="1">
        <v>7.75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>
        <f>AVERAGE(E326:P326)</f>
        <v>7.7305320000000002</v>
      </c>
      <c r="AF326" s="1"/>
      <c r="AG326" s="1">
        <f>AVERAGE(AE326:AF326)</f>
        <v>7.7305320000000002</v>
      </c>
      <c r="AH326" s="1">
        <v>15</v>
      </c>
      <c r="AI326" s="1">
        <v>17</v>
      </c>
      <c r="AJ326" s="1">
        <v>14</v>
      </c>
      <c r="AK326" s="1">
        <v>15</v>
      </c>
      <c r="AL326" s="1">
        <v>16</v>
      </c>
      <c r="AM326" s="1">
        <v>14.5</v>
      </c>
      <c r="AN326" s="1"/>
      <c r="AO326" s="1"/>
      <c r="AP326" s="1"/>
      <c r="AQ326" s="1">
        <f>AVERAGE(AH326:AK326)</f>
        <v>15.25</v>
      </c>
      <c r="AR326" s="1"/>
      <c r="AS326" s="12">
        <f>AVERAGE(AN326:AQ326)</f>
        <v>15.25</v>
      </c>
      <c r="AT326" s="1"/>
      <c r="AU326" s="1"/>
      <c r="AV326" s="1"/>
      <c r="AW326" s="1"/>
      <c r="AX326" s="1"/>
      <c r="AY326" s="1"/>
      <c r="AZ326" s="1">
        <v>4.7</v>
      </c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>
        <f>AVERAGE(AV326:BI326)</f>
        <v>4.7</v>
      </c>
      <c r="BN326" s="12">
        <f>AVERAGE(AT326:BK326)</f>
        <v>4.7</v>
      </c>
      <c r="BO326" s="1"/>
      <c r="BP326" s="1"/>
      <c r="BQ326" s="1">
        <v>155.92224999999999</v>
      </c>
      <c r="BR326" s="1"/>
      <c r="BS326" s="1"/>
      <c r="BT326" s="1"/>
      <c r="BU326" s="1"/>
      <c r="BV326" s="1"/>
      <c r="BW326" s="1"/>
      <c r="BX326" s="1">
        <v>155.92224999999999</v>
      </c>
      <c r="BY326" s="1"/>
      <c r="BZ326" s="1"/>
      <c r="CA326" s="1">
        <f>AVERAGE(BQ326:BU326)</f>
        <v>155.92224999999999</v>
      </c>
      <c r="CB326" s="12">
        <f>CA326/1000</f>
        <v>0.15592224999999998</v>
      </c>
      <c r="CC326" s="13">
        <f t="shared" si="80"/>
        <v>0.73283457499999993</v>
      </c>
      <c r="CD326" s="6"/>
      <c r="CE326" s="6"/>
      <c r="CF326" s="6"/>
      <c r="CG326" s="6"/>
      <c r="CH326" s="6"/>
      <c r="CI326" s="6"/>
      <c r="CJ326" s="13">
        <f>((Q326-CB326)/CB326)*100</f>
        <v>4845.454545454546</v>
      </c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</row>
    <row r="327" spans="1:160" x14ac:dyDescent="0.3">
      <c r="A327" s="6" t="s">
        <v>305</v>
      </c>
      <c r="B327" s="10" t="s">
        <v>305</v>
      </c>
      <c r="C327" s="10" t="s">
        <v>554</v>
      </c>
      <c r="D327" s="6" t="s">
        <v>555</v>
      </c>
      <c r="E327" s="7"/>
      <c r="F327" s="7"/>
      <c r="G327" s="7"/>
      <c r="H327" s="7"/>
      <c r="I327" s="1"/>
      <c r="J327" s="1"/>
      <c r="K327" s="1"/>
      <c r="L327" s="1"/>
      <c r="M327" s="1"/>
      <c r="N327" s="1"/>
      <c r="O327" s="1"/>
      <c r="P327" s="1"/>
      <c r="Q327" s="12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2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>
        <v>7</v>
      </c>
      <c r="BF327" s="1"/>
      <c r="BG327" s="1"/>
      <c r="BH327" s="1"/>
      <c r="BI327" s="1"/>
      <c r="BJ327" s="1"/>
      <c r="BK327" s="1"/>
      <c r="BL327" s="1"/>
      <c r="BM327" s="1">
        <f>AVERAGE(AV327:BI327)</f>
        <v>7</v>
      </c>
      <c r="BN327" s="12">
        <f>AVERAGE(AT327:BK327)</f>
        <v>7</v>
      </c>
      <c r="BO327" s="1"/>
      <c r="BP327" s="1"/>
      <c r="BQ327" s="1"/>
      <c r="BR327" s="1"/>
      <c r="BS327" s="1"/>
      <c r="BT327" s="1">
        <v>595</v>
      </c>
      <c r="BU327" s="1"/>
      <c r="BV327" s="1"/>
      <c r="BW327" s="1"/>
      <c r="BX327" s="1"/>
      <c r="BY327" s="1">
        <f>AVERAGE(BR327:BU327)</f>
        <v>595</v>
      </c>
      <c r="BZ327" s="1">
        <f>BY327/1000</f>
        <v>0.59499999999999997</v>
      </c>
      <c r="CA327" s="1">
        <f>AVERAGE(BQ327:BU327)</f>
        <v>595</v>
      </c>
      <c r="CB327" s="12">
        <f>CA327/1000</f>
        <v>0.59499999999999997</v>
      </c>
      <c r="CC327" s="13">
        <f t="shared" si="80"/>
        <v>4.165</v>
      </c>
      <c r="CD327" s="6"/>
      <c r="CE327" s="6"/>
      <c r="CF327" s="6"/>
      <c r="CG327" s="6"/>
      <c r="CH327" s="6"/>
      <c r="CI327" s="6"/>
      <c r="CJ327" s="13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</row>
    <row r="328" spans="1:160" x14ac:dyDescent="0.3">
      <c r="A328" s="6" t="s">
        <v>305</v>
      </c>
      <c r="B328" s="10" t="s">
        <v>305</v>
      </c>
      <c r="C328" s="10" t="s">
        <v>556</v>
      </c>
      <c r="D328" s="6" t="s">
        <v>557</v>
      </c>
      <c r="E328" s="7"/>
      <c r="F328" s="7"/>
      <c r="G328" s="7"/>
      <c r="H328" s="7"/>
      <c r="I328" s="1"/>
      <c r="J328" s="1"/>
      <c r="K328" s="1"/>
      <c r="L328" s="1"/>
      <c r="M328" s="1"/>
      <c r="N328" s="1"/>
      <c r="O328" s="1"/>
      <c r="P328" s="1"/>
      <c r="Q328" s="12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2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2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2"/>
      <c r="CC328" s="13">
        <f t="shared" si="80"/>
        <v>0</v>
      </c>
      <c r="CD328" s="6"/>
      <c r="CE328" s="6"/>
      <c r="CF328" s="6"/>
      <c r="CG328" s="6"/>
      <c r="CH328" s="6"/>
      <c r="CI328" s="6"/>
      <c r="CJ328" s="13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</row>
    <row r="329" spans="1:160" x14ac:dyDescent="0.3">
      <c r="A329" s="6" t="s">
        <v>305</v>
      </c>
      <c r="B329" s="10" t="s">
        <v>305</v>
      </c>
      <c r="C329" s="10" t="s">
        <v>558</v>
      </c>
      <c r="D329" s="6" t="s">
        <v>559</v>
      </c>
      <c r="E329" s="7"/>
      <c r="F329" s="7"/>
      <c r="G329" s="7"/>
      <c r="H329" s="7"/>
      <c r="I329" s="1"/>
      <c r="J329" s="1"/>
      <c r="K329" s="1"/>
      <c r="L329" s="1"/>
      <c r="M329" s="1"/>
      <c r="N329" s="1"/>
      <c r="O329" s="1"/>
      <c r="P329" s="1"/>
      <c r="Q329" s="12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2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2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2"/>
      <c r="CC329" s="13">
        <f t="shared" si="80"/>
        <v>0</v>
      </c>
      <c r="CD329" s="6"/>
      <c r="CE329" s="6"/>
      <c r="CF329" s="6"/>
      <c r="CG329" s="6"/>
      <c r="CH329" s="6"/>
      <c r="CI329" s="6"/>
      <c r="CJ329" s="13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</row>
    <row r="330" spans="1:160" x14ac:dyDescent="0.3">
      <c r="A330" s="6" t="s">
        <v>305</v>
      </c>
      <c r="B330" s="10" t="s">
        <v>305</v>
      </c>
      <c r="C330" s="10" t="s">
        <v>560</v>
      </c>
      <c r="D330" s="6" t="s">
        <v>560</v>
      </c>
      <c r="E330" s="7">
        <v>13.607760000000001</v>
      </c>
      <c r="F330" s="7">
        <v>27.215520000000001</v>
      </c>
      <c r="G330" s="7"/>
      <c r="H330" s="7"/>
      <c r="I330" s="1"/>
      <c r="J330" s="1"/>
      <c r="K330" s="1"/>
      <c r="L330" s="1"/>
      <c r="M330" s="1"/>
      <c r="N330" s="1"/>
      <c r="O330" s="1"/>
      <c r="P330" s="1"/>
      <c r="Q330" s="12">
        <v>20.411639999999998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>
        <f>AVERAGE(E330:P330)</f>
        <v>20.411640000000002</v>
      </c>
      <c r="AF330" s="1"/>
      <c r="AG330" s="1">
        <f>AVERAGE(AE330:AF330)</f>
        <v>20.411640000000002</v>
      </c>
      <c r="AH330" s="1">
        <v>10</v>
      </c>
      <c r="AI330" s="1">
        <v>13</v>
      </c>
      <c r="AJ330" s="1"/>
      <c r="AK330" s="1"/>
      <c r="AL330" s="1">
        <v>11.5</v>
      </c>
      <c r="AM330" s="1"/>
      <c r="AN330" s="1"/>
      <c r="AO330" s="1"/>
      <c r="AP330" s="1"/>
      <c r="AQ330" s="1">
        <f>AVERAGE(AH330:AK330)</f>
        <v>11.5</v>
      </c>
      <c r="AR330" s="1"/>
      <c r="AS330" s="12">
        <f>AVERAGE(AN330:AQ330)</f>
        <v>11.5</v>
      </c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2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2"/>
      <c r="CC330" s="13">
        <f t="shared" si="80"/>
        <v>0</v>
      </c>
      <c r="CD330" s="6"/>
      <c r="CE330" s="6"/>
      <c r="CF330" s="6"/>
      <c r="CG330" s="6"/>
      <c r="CH330" s="6"/>
      <c r="CI330" s="6"/>
      <c r="CJ330" s="13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</row>
    <row r="331" spans="1:160" x14ac:dyDescent="0.3">
      <c r="A331" s="6" t="s">
        <v>305</v>
      </c>
      <c r="B331" s="10" t="s">
        <v>305</v>
      </c>
      <c r="C331" s="10" t="s">
        <v>561</v>
      </c>
      <c r="D331" s="6" t="s">
        <v>561</v>
      </c>
      <c r="E331" s="7">
        <v>8.1646560000000008</v>
      </c>
      <c r="F331" s="7">
        <v>13.154168</v>
      </c>
      <c r="G331" s="7"/>
      <c r="H331" s="7"/>
      <c r="I331" s="1"/>
      <c r="J331" s="1"/>
      <c r="K331" s="1"/>
      <c r="L331" s="1"/>
      <c r="M331" s="1"/>
      <c r="N331" s="1"/>
      <c r="O331" s="1"/>
      <c r="P331" s="1"/>
      <c r="Q331" s="12">
        <v>10.659412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>
        <f>AVERAGE(E331:P331)</f>
        <v>10.659412</v>
      </c>
      <c r="AF331" s="1"/>
      <c r="AG331" s="1">
        <f>AVERAGE(AE331:AF331)</f>
        <v>10.659412</v>
      </c>
      <c r="AH331" s="1">
        <v>12</v>
      </c>
      <c r="AI331" s="1">
        <v>14</v>
      </c>
      <c r="AJ331" s="1"/>
      <c r="AK331" s="1"/>
      <c r="AL331" s="1">
        <v>13</v>
      </c>
      <c r="AM331" s="1"/>
      <c r="AN331" s="1"/>
      <c r="AO331" s="1"/>
      <c r="AP331" s="1"/>
      <c r="AQ331" s="1">
        <f>AVERAGE(AH331:AK331)</f>
        <v>13</v>
      </c>
      <c r="AR331" s="1"/>
      <c r="AS331" s="12">
        <f>AVERAGE(AN331:AQ331)</f>
        <v>13</v>
      </c>
      <c r="AT331" s="1"/>
      <c r="AU331" s="1"/>
      <c r="AV331" s="1"/>
      <c r="AW331" s="1"/>
      <c r="AX331" s="1"/>
      <c r="AY331" s="1"/>
      <c r="AZ331" s="1">
        <v>5</v>
      </c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>
        <f>AVERAGE(AV331:BI331)</f>
        <v>5</v>
      </c>
      <c r="BN331" s="12">
        <f>AVERAGE(AT331:BK331)</f>
        <v>5</v>
      </c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2"/>
      <c r="CC331" s="13">
        <f t="shared" si="80"/>
        <v>0</v>
      </c>
      <c r="CD331" s="6"/>
      <c r="CE331" s="6"/>
      <c r="CF331" s="6"/>
      <c r="CG331" s="6"/>
      <c r="CH331" s="6"/>
      <c r="CI331" s="6"/>
      <c r="CJ331" s="13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</row>
    <row r="332" spans="1:160" x14ac:dyDescent="0.3">
      <c r="A332" s="6" t="s">
        <v>305</v>
      </c>
      <c r="B332" s="10" t="s">
        <v>305</v>
      </c>
      <c r="C332" s="10" t="s">
        <v>562</v>
      </c>
      <c r="D332" s="6" t="s">
        <v>562</v>
      </c>
      <c r="E332" s="7"/>
      <c r="F332" s="7"/>
      <c r="G332" s="7"/>
      <c r="H332" s="7"/>
      <c r="I332" s="1"/>
      <c r="J332" s="1"/>
      <c r="K332" s="1"/>
      <c r="L332" s="1"/>
      <c r="M332" s="1"/>
      <c r="N332" s="1"/>
      <c r="O332" s="1"/>
      <c r="P332" s="1"/>
      <c r="Q332" s="12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2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2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2"/>
      <c r="CC332" s="13">
        <f t="shared" si="80"/>
        <v>0</v>
      </c>
      <c r="CD332" s="6"/>
      <c r="CE332" s="6"/>
      <c r="CF332" s="6"/>
      <c r="CG332" s="6"/>
      <c r="CH332" s="6"/>
      <c r="CI332" s="6"/>
      <c r="CJ332" s="13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</row>
    <row r="333" spans="1:160" x14ac:dyDescent="0.3">
      <c r="A333" s="6" t="s">
        <v>305</v>
      </c>
      <c r="B333" s="10" t="s">
        <v>305</v>
      </c>
      <c r="C333" s="10" t="s">
        <v>563</v>
      </c>
      <c r="D333" s="6" t="s">
        <v>563</v>
      </c>
      <c r="E333" s="7">
        <v>9.0718399999999999</v>
      </c>
      <c r="F333" s="7">
        <v>13.607760000000001</v>
      </c>
      <c r="G333" s="7"/>
      <c r="H333" s="7"/>
      <c r="I333" s="1"/>
      <c r="J333" s="1"/>
      <c r="K333" s="1"/>
      <c r="L333" s="1"/>
      <c r="M333" s="1"/>
      <c r="N333" s="1"/>
      <c r="O333" s="1"/>
      <c r="P333" s="1"/>
      <c r="Q333" s="12">
        <v>11.3398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>
        <f>AVERAGE(E333:P333)</f>
        <v>11.3398</v>
      </c>
      <c r="AF333" s="1"/>
      <c r="AG333" s="1">
        <f>AVERAGE(AE333:AF333)</f>
        <v>11.3398</v>
      </c>
      <c r="AH333" s="1">
        <v>14</v>
      </c>
      <c r="AI333" s="1">
        <v>17</v>
      </c>
      <c r="AJ333" s="1"/>
      <c r="AK333" s="1"/>
      <c r="AL333" s="1">
        <v>15.5</v>
      </c>
      <c r="AM333" s="1"/>
      <c r="AN333" s="1"/>
      <c r="AO333" s="1"/>
      <c r="AP333" s="1"/>
      <c r="AQ333" s="1">
        <f>AVERAGE(AH333:AK333)</f>
        <v>15.5</v>
      </c>
      <c r="AR333" s="1"/>
      <c r="AS333" s="12">
        <f>AVERAGE(AN333:AQ333)</f>
        <v>15.5</v>
      </c>
      <c r="AT333" s="1"/>
      <c r="AU333" s="1"/>
      <c r="AV333" s="1"/>
      <c r="AW333" s="1"/>
      <c r="AX333" s="1"/>
      <c r="AY333" s="1"/>
      <c r="AZ333" s="1">
        <v>3</v>
      </c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>
        <f>AVERAGE(AV333:BI333)</f>
        <v>3</v>
      </c>
      <c r="BN333" s="12">
        <f>AVERAGE(AT333:BK333)</f>
        <v>3</v>
      </c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2"/>
      <c r="CC333" s="13">
        <f t="shared" si="80"/>
        <v>0</v>
      </c>
      <c r="CD333" s="6"/>
      <c r="CE333" s="6"/>
      <c r="CF333" s="6"/>
      <c r="CG333" s="6"/>
      <c r="CH333" s="6"/>
      <c r="CI333" s="6"/>
      <c r="CJ333" s="13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</row>
    <row r="334" spans="1:160" x14ac:dyDescent="0.3">
      <c r="A334" s="6" t="s">
        <v>305</v>
      </c>
      <c r="B334" s="10" t="s">
        <v>305</v>
      </c>
      <c r="C334" s="10" t="s">
        <v>564</v>
      </c>
      <c r="D334" s="6" t="s">
        <v>565</v>
      </c>
      <c r="E334" s="7"/>
      <c r="F334" s="7"/>
      <c r="G334" s="7"/>
      <c r="H334" s="7"/>
      <c r="I334" s="1"/>
      <c r="J334" s="1"/>
      <c r="K334" s="1"/>
      <c r="L334" s="1"/>
      <c r="M334" s="1"/>
      <c r="N334" s="1"/>
      <c r="O334" s="1"/>
      <c r="P334" s="1"/>
      <c r="Q334" s="12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2"/>
      <c r="AT334" s="1"/>
      <c r="AU334" s="1"/>
      <c r="AV334" s="1"/>
      <c r="AW334" s="1"/>
      <c r="AX334" s="1"/>
      <c r="AY334" s="1"/>
      <c r="AZ334" s="1">
        <v>6.2</v>
      </c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>
        <f>AVERAGE(AV334:BI334)</f>
        <v>6.2</v>
      </c>
      <c r="BN334" s="12">
        <f>AVERAGE(AT334:BK334)</f>
        <v>6.2</v>
      </c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2"/>
      <c r="CC334" s="13">
        <f t="shared" si="80"/>
        <v>0</v>
      </c>
      <c r="CD334" s="6"/>
      <c r="CE334" s="6"/>
      <c r="CF334" s="6"/>
      <c r="CG334" s="6"/>
      <c r="CH334" s="6"/>
      <c r="CI334" s="6"/>
      <c r="CJ334" s="13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</row>
    <row r="335" spans="1:160" x14ac:dyDescent="0.3">
      <c r="A335" s="6" t="s">
        <v>305</v>
      </c>
      <c r="B335" s="10" t="s">
        <v>305</v>
      </c>
      <c r="C335" s="10" t="s">
        <v>566</v>
      </c>
      <c r="D335" s="6" t="s">
        <v>566</v>
      </c>
      <c r="E335" s="7"/>
      <c r="F335" s="7"/>
      <c r="G335" s="7"/>
      <c r="H335" s="7"/>
      <c r="I335" s="1">
        <v>14.061351999999999</v>
      </c>
      <c r="J335" s="1">
        <v>18.14368</v>
      </c>
      <c r="K335" s="1">
        <v>14</v>
      </c>
      <c r="L335" s="1">
        <v>18</v>
      </c>
      <c r="M335" s="1">
        <v>11.793392000000001</v>
      </c>
      <c r="N335" s="1">
        <v>15.875719999999999</v>
      </c>
      <c r="O335" s="1">
        <v>12</v>
      </c>
      <c r="P335" s="1">
        <v>16</v>
      </c>
      <c r="Q335" s="12">
        <v>14.968536</v>
      </c>
      <c r="R335" s="1">
        <v>16.102516000000001</v>
      </c>
      <c r="S335" s="1">
        <v>13.834555999999999</v>
      </c>
      <c r="T335" s="1">
        <v>15</v>
      </c>
      <c r="U335" s="1">
        <v>16</v>
      </c>
      <c r="V335" s="1">
        <v>14</v>
      </c>
      <c r="W335" s="1">
        <f>AVERAGE(X335:Y335)</f>
        <v>16</v>
      </c>
      <c r="X335" s="1">
        <v>16</v>
      </c>
      <c r="Y335" s="1"/>
      <c r="Z335" s="1"/>
      <c r="AA335" s="1"/>
      <c r="AB335" s="1"/>
      <c r="AC335" s="1"/>
      <c r="AD335" s="1"/>
      <c r="AE335" s="1">
        <f>AVERAGE(E335:P335)</f>
        <v>14.984268</v>
      </c>
      <c r="AF335" s="1">
        <f>AVERAGE(X335:AD335)</f>
        <v>16</v>
      </c>
      <c r="AG335" s="1">
        <f>AVERAGE(AE335:AF335)</f>
        <v>15.492134</v>
      </c>
      <c r="AH335" s="1">
        <v>12</v>
      </c>
      <c r="AI335" s="1">
        <v>15</v>
      </c>
      <c r="AJ335" s="1">
        <v>13</v>
      </c>
      <c r="AK335" s="1">
        <v>15</v>
      </c>
      <c r="AL335" s="1">
        <v>13.5</v>
      </c>
      <c r="AM335" s="1">
        <v>14</v>
      </c>
      <c r="AN335" s="1"/>
      <c r="AO335" s="1"/>
      <c r="AP335" s="1"/>
      <c r="AQ335" s="1">
        <f>AVERAGE(AH335:AK335)</f>
        <v>13.75</v>
      </c>
      <c r="AR335" s="1"/>
      <c r="AS335" s="12">
        <f>AVERAGE(AN335:AQ335)</f>
        <v>13.75</v>
      </c>
      <c r="AT335" s="1"/>
      <c r="AU335" s="1"/>
      <c r="AV335" s="1"/>
      <c r="AW335" s="1"/>
      <c r="AX335" s="1"/>
      <c r="AY335" s="1"/>
      <c r="AZ335" s="1">
        <v>4.9000000000000004</v>
      </c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>
        <f>AVERAGE(AV335:BI335)</f>
        <v>4.9000000000000004</v>
      </c>
      <c r="BN335" s="12">
        <f>AVERAGE(AT335:BK335)</f>
        <v>4.9000000000000004</v>
      </c>
      <c r="BO335" s="1"/>
      <c r="BP335" s="1"/>
      <c r="BQ335" s="1"/>
      <c r="BR335" s="1">
        <v>345</v>
      </c>
      <c r="BS335" s="1"/>
      <c r="BT335" s="1"/>
      <c r="BU335" s="1"/>
      <c r="BV335" s="1">
        <v>345</v>
      </c>
      <c r="BW335" s="1"/>
      <c r="BX335" s="1"/>
      <c r="BY335" s="1">
        <f>AVERAGE(BR335:BU335)</f>
        <v>345</v>
      </c>
      <c r="BZ335" s="1">
        <f>BY335/1000</f>
        <v>0.34499999999999997</v>
      </c>
      <c r="CA335" s="1">
        <f>AVERAGE(BQ335:BU335)</f>
        <v>345</v>
      </c>
      <c r="CB335" s="12">
        <f>CA335/1000</f>
        <v>0.34499999999999997</v>
      </c>
      <c r="CC335" s="13">
        <f t="shared" si="80"/>
        <v>1.6904999999999999</v>
      </c>
      <c r="CD335" s="6"/>
      <c r="CE335" s="6"/>
      <c r="CF335" s="6"/>
      <c r="CG335" s="6"/>
      <c r="CH335" s="6"/>
      <c r="CI335" s="6"/>
      <c r="CJ335" s="13">
        <f>((Q335-CB335)/CB335)*100</f>
        <v>4238.7060869565221</v>
      </c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</row>
    <row r="336" spans="1:160" x14ac:dyDescent="0.3">
      <c r="A336" s="6" t="s">
        <v>305</v>
      </c>
      <c r="B336" s="10" t="s">
        <v>305</v>
      </c>
      <c r="C336" s="10" t="s">
        <v>567</v>
      </c>
      <c r="D336" s="6" t="s">
        <v>567</v>
      </c>
      <c r="E336" s="7"/>
      <c r="F336" s="7"/>
      <c r="G336" s="7"/>
      <c r="H336" s="7"/>
      <c r="I336" s="1"/>
      <c r="J336" s="1"/>
      <c r="K336" s="1"/>
      <c r="L336" s="1"/>
      <c r="M336" s="1"/>
      <c r="N336" s="1"/>
      <c r="O336" s="1"/>
      <c r="P336" s="1"/>
      <c r="Q336" s="12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2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2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2"/>
      <c r="CC336" s="13">
        <f t="shared" si="80"/>
        <v>0</v>
      </c>
      <c r="CD336" s="6"/>
      <c r="CE336" s="6"/>
      <c r="CF336" s="6"/>
      <c r="CG336" s="6"/>
      <c r="CH336" s="6"/>
      <c r="CI336" s="6"/>
      <c r="CJ336" s="13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</row>
    <row r="337" spans="1:160" x14ac:dyDescent="0.3">
      <c r="A337" s="6" t="s">
        <v>305</v>
      </c>
      <c r="B337" s="10" t="s">
        <v>305</v>
      </c>
      <c r="C337" s="10" t="s">
        <v>568</v>
      </c>
      <c r="D337" s="6" t="s">
        <v>568</v>
      </c>
      <c r="E337" s="7"/>
      <c r="F337" s="7"/>
      <c r="G337" s="7"/>
      <c r="H337" s="7"/>
      <c r="I337" s="1"/>
      <c r="J337" s="1"/>
      <c r="K337" s="1"/>
      <c r="L337" s="1"/>
      <c r="M337" s="1"/>
      <c r="N337" s="1"/>
      <c r="O337" s="1"/>
      <c r="P337" s="1"/>
      <c r="Q337" s="12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2"/>
      <c r="AT337" s="1"/>
      <c r="AU337" s="1"/>
      <c r="AV337" s="1"/>
      <c r="AW337" s="1"/>
      <c r="AX337" s="1"/>
      <c r="AY337" s="1"/>
      <c r="AZ337" s="1">
        <v>7.4</v>
      </c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>
        <f>AVERAGE(AV337:BI337)</f>
        <v>7.4</v>
      </c>
      <c r="BN337" s="12">
        <f>AVERAGE(AT337:BK337)</f>
        <v>7.4</v>
      </c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2"/>
      <c r="CC337" s="13">
        <f t="shared" si="80"/>
        <v>0</v>
      </c>
      <c r="CD337" s="6"/>
      <c r="CE337" s="6"/>
      <c r="CF337" s="6"/>
      <c r="CG337" s="6"/>
      <c r="CH337" s="6"/>
      <c r="CI337" s="6"/>
      <c r="CJ337" s="13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</row>
    <row r="338" spans="1:160" x14ac:dyDescent="0.3">
      <c r="A338" s="6" t="s">
        <v>305</v>
      </c>
      <c r="B338" s="10" t="s">
        <v>305</v>
      </c>
      <c r="C338" s="10" t="s">
        <v>569</v>
      </c>
      <c r="D338" s="6" t="s">
        <v>569</v>
      </c>
      <c r="E338" s="7">
        <v>9.0718399999999999</v>
      </c>
      <c r="F338" s="7">
        <v>13.607760000000001</v>
      </c>
      <c r="G338" s="7">
        <v>6</v>
      </c>
      <c r="H338" s="7">
        <v>9</v>
      </c>
      <c r="I338" s="1"/>
      <c r="J338" s="1"/>
      <c r="K338" s="1"/>
      <c r="L338" s="1"/>
      <c r="M338" s="1"/>
      <c r="N338" s="1"/>
      <c r="O338" s="1"/>
      <c r="P338" s="1"/>
      <c r="Q338" s="12">
        <v>11.3398</v>
      </c>
      <c r="R338" s="1"/>
      <c r="S338" s="1"/>
      <c r="T338" s="1">
        <v>7.5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>
        <f>AVERAGE(E338:P338)</f>
        <v>9.4199000000000002</v>
      </c>
      <c r="AF338" s="1"/>
      <c r="AG338" s="1">
        <f>AVERAGE(AE338:AF338)</f>
        <v>9.4199000000000002</v>
      </c>
      <c r="AH338" s="1">
        <v>12</v>
      </c>
      <c r="AI338" s="1">
        <v>15</v>
      </c>
      <c r="AJ338" s="1">
        <v>12</v>
      </c>
      <c r="AK338" s="1"/>
      <c r="AL338" s="1">
        <v>13.5</v>
      </c>
      <c r="AM338" s="1">
        <v>12</v>
      </c>
      <c r="AN338" s="1"/>
      <c r="AO338" s="1"/>
      <c r="AP338" s="1"/>
      <c r="AQ338" s="1">
        <f>AVERAGE(AH338:AK338)</f>
        <v>13</v>
      </c>
      <c r="AR338" s="1"/>
      <c r="AS338" s="12">
        <f>AVERAGE(AN338:AQ338)</f>
        <v>13</v>
      </c>
      <c r="AT338" s="1"/>
      <c r="AU338" s="1"/>
      <c r="AV338" s="1"/>
      <c r="AW338" s="1"/>
      <c r="AX338" s="1"/>
      <c r="AY338" s="1"/>
      <c r="AZ338" s="1">
        <v>3.2</v>
      </c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>
        <f>AVERAGE(AV338:BI338)</f>
        <v>3.2</v>
      </c>
      <c r="BN338" s="12">
        <f>AVERAGE(AT338:BK338)</f>
        <v>3.2</v>
      </c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2"/>
      <c r="CC338" s="13">
        <f t="shared" si="80"/>
        <v>0</v>
      </c>
      <c r="CD338" s="6"/>
      <c r="CE338" s="6"/>
      <c r="CF338" s="6"/>
      <c r="CG338" s="6"/>
      <c r="CH338" s="6"/>
      <c r="CI338" s="6"/>
      <c r="CJ338" s="13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</row>
    <row r="339" spans="1:160" x14ac:dyDescent="0.3">
      <c r="A339" s="6" t="s">
        <v>305</v>
      </c>
      <c r="B339" s="10" t="s">
        <v>305</v>
      </c>
      <c r="C339" s="10" t="s">
        <v>570</v>
      </c>
      <c r="D339" s="6" t="s">
        <v>570</v>
      </c>
      <c r="E339" s="7"/>
      <c r="F339" s="7"/>
      <c r="G339" s="7"/>
      <c r="H339" s="7"/>
      <c r="I339" s="1"/>
      <c r="J339" s="1"/>
      <c r="K339" s="1"/>
      <c r="L339" s="1"/>
      <c r="M339" s="1"/>
      <c r="N339" s="1"/>
      <c r="O339" s="1"/>
      <c r="P339" s="1"/>
      <c r="Q339" s="12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2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2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2"/>
      <c r="CC339" s="13">
        <f t="shared" si="80"/>
        <v>0</v>
      </c>
      <c r="CD339" s="6"/>
      <c r="CE339" s="6"/>
      <c r="CF339" s="6"/>
      <c r="CG339" s="6"/>
      <c r="CH339" s="6"/>
      <c r="CI339" s="6"/>
      <c r="CJ339" s="13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</row>
    <row r="340" spans="1:160" x14ac:dyDescent="0.3">
      <c r="A340" s="6" t="s">
        <v>305</v>
      </c>
      <c r="B340" s="10" t="s">
        <v>305</v>
      </c>
      <c r="C340" s="10" t="s">
        <v>571</v>
      </c>
      <c r="D340" s="6" t="s">
        <v>571</v>
      </c>
      <c r="E340" s="7"/>
      <c r="F340" s="7"/>
      <c r="G340" s="7"/>
      <c r="H340" s="7"/>
      <c r="I340" s="1"/>
      <c r="J340" s="1"/>
      <c r="K340" s="1"/>
      <c r="L340" s="1"/>
      <c r="M340" s="1"/>
      <c r="N340" s="1"/>
      <c r="O340" s="1"/>
      <c r="P340" s="1"/>
      <c r="Q340" s="12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2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2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2"/>
      <c r="CC340" s="13">
        <f t="shared" si="80"/>
        <v>0</v>
      </c>
      <c r="CD340" s="6"/>
      <c r="CE340" s="6"/>
      <c r="CF340" s="6"/>
      <c r="CG340" s="6"/>
      <c r="CH340" s="6"/>
      <c r="CI340" s="6"/>
      <c r="CJ340" s="13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</row>
    <row r="341" spans="1:160" x14ac:dyDescent="0.3">
      <c r="A341" s="6" t="s">
        <v>305</v>
      </c>
      <c r="B341" s="10" t="s">
        <v>305</v>
      </c>
      <c r="C341" s="10" t="s">
        <v>572</v>
      </c>
      <c r="D341" s="6" t="s">
        <v>572</v>
      </c>
      <c r="E341" s="7"/>
      <c r="F341" s="7"/>
      <c r="G341" s="7"/>
      <c r="H341" s="7"/>
      <c r="I341" s="1"/>
      <c r="J341" s="1"/>
      <c r="K341" s="1"/>
      <c r="L341" s="1"/>
      <c r="M341" s="1"/>
      <c r="N341" s="1"/>
      <c r="O341" s="1"/>
      <c r="P341" s="1"/>
      <c r="Q341" s="12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2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2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2"/>
      <c r="CC341" s="13">
        <f t="shared" si="80"/>
        <v>0</v>
      </c>
      <c r="CD341" s="6"/>
      <c r="CE341" s="6"/>
      <c r="CF341" s="6"/>
      <c r="CG341" s="6"/>
      <c r="CH341" s="6"/>
      <c r="CI341" s="6"/>
      <c r="CJ341" s="13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</row>
    <row r="342" spans="1:160" x14ac:dyDescent="0.3">
      <c r="A342" s="6" t="s">
        <v>305</v>
      </c>
      <c r="B342" s="10" t="s">
        <v>305</v>
      </c>
      <c r="C342" s="10" t="s">
        <v>573</v>
      </c>
      <c r="D342" s="6" t="s">
        <v>573</v>
      </c>
      <c r="E342" s="7">
        <v>12.020187999999999</v>
      </c>
      <c r="F342" s="7">
        <v>24.947559999999999</v>
      </c>
      <c r="G342" s="7"/>
      <c r="H342" s="7"/>
      <c r="I342" s="1"/>
      <c r="J342" s="1"/>
      <c r="K342" s="1"/>
      <c r="L342" s="1"/>
      <c r="M342" s="1"/>
      <c r="N342" s="1"/>
      <c r="O342" s="1"/>
      <c r="P342" s="1"/>
      <c r="Q342" s="12">
        <v>18.483874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>
        <f>AVERAGE(E342:P342)</f>
        <v>18.483874</v>
      </c>
      <c r="AF342" s="1"/>
      <c r="AG342" s="1">
        <f>AVERAGE(AE342:AF342)</f>
        <v>18.483874</v>
      </c>
      <c r="AH342" s="1">
        <v>12</v>
      </c>
      <c r="AI342" s="1">
        <v>14</v>
      </c>
      <c r="AJ342" s="1"/>
      <c r="AK342" s="1"/>
      <c r="AL342" s="1">
        <v>13</v>
      </c>
      <c r="AM342" s="1"/>
      <c r="AN342" s="1"/>
      <c r="AO342" s="1"/>
      <c r="AP342" s="1"/>
      <c r="AQ342" s="1">
        <f>AVERAGE(AH342:AK342)</f>
        <v>13</v>
      </c>
      <c r="AR342" s="1"/>
      <c r="AS342" s="12">
        <f>AVERAGE(AN342:AQ342)</f>
        <v>13</v>
      </c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>
        <v>4</v>
      </c>
      <c r="BK342" s="1">
        <v>6.5</v>
      </c>
      <c r="BL342" s="1"/>
      <c r="BM342" s="1"/>
      <c r="BN342" s="12">
        <f>AVERAGE(AT342:BK342)</f>
        <v>5.25</v>
      </c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2"/>
      <c r="CC342" s="13">
        <f t="shared" si="80"/>
        <v>0</v>
      </c>
      <c r="CD342" s="6"/>
      <c r="CE342" s="6"/>
      <c r="CF342" s="6"/>
      <c r="CG342" s="6"/>
      <c r="CH342" s="6"/>
      <c r="CI342" s="6"/>
      <c r="CJ342" s="13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</row>
    <row r="343" spans="1:160" x14ac:dyDescent="0.3">
      <c r="A343" s="6" t="s">
        <v>305</v>
      </c>
      <c r="B343" s="10" t="s">
        <v>305</v>
      </c>
      <c r="C343" s="10" t="s">
        <v>574</v>
      </c>
      <c r="D343" s="6" t="s">
        <v>574</v>
      </c>
      <c r="E343" s="7">
        <v>3.8555320000000002</v>
      </c>
      <c r="F343" s="7">
        <v>7.9378599999999997</v>
      </c>
      <c r="G343" s="7"/>
      <c r="H343" s="7"/>
      <c r="I343" s="1"/>
      <c r="J343" s="1"/>
      <c r="K343" s="1"/>
      <c r="L343" s="1"/>
      <c r="M343" s="1"/>
      <c r="N343" s="1"/>
      <c r="O343" s="1"/>
      <c r="P343" s="1"/>
      <c r="Q343" s="12">
        <v>5.8966960000000004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>
        <f>AVERAGE(E343:P343)</f>
        <v>5.8966960000000004</v>
      </c>
      <c r="AF343" s="1"/>
      <c r="AG343" s="1">
        <f>AVERAGE(AE343:AF343)</f>
        <v>5.8966960000000004</v>
      </c>
      <c r="AH343" s="1">
        <v>12</v>
      </c>
      <c r="AI343" s="1">
        <v>14</v>
      </c>
      <c r="AJ343" s="1"/>
      <c r="AK343" s="1"/>
      <c r="AL343" s="1">
        <v>13</v>
      </c>
      <c r="AM343" s="1"/>
      <c r="AN343" s="1"/>
      <c r="AO343" s="1"/>
      <c r="AP343" s="1"/>
      <c r="AQ343" s="1">
        <f>AVERAGE(AH343:AK343)</f>
        <v>13</v>
      </c>
      <c r="AR343" s="1"/>
      <c r="AS343" s="12">
        <f>AVERAGE(AN343:AQ343)</f>
        <v>13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>
        <v>4</v>
      </c>
      <c r="BK343" s="1">
        <v>2</v>
      </c>
      <c r="BL343" s="1"/>
      <c r="BM343" s="1"/>
      <c r="BN343" s="12">
        <f>AVERAGE(AT343:BK343)</f>
        <v>3</v>
      </c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2"/>
      <c r="CC343" s="13">
        <f t="shared" si="80"/>
        <v>0</v>
      </c>
      <c r="CD343" s="6"/>
      <c r="CE343" s="6"/>
      <c r="CF343" s="6"/>
      <c r="CG343" s="6"/>
      <c r="CH343" s="6"/>
      <c r="CI343" s="6"/>
      <c r="CJ343" s="13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</row>
    <row r="344" spans="1:160" x14ac:dyDescent="0.3">
      <c r="A344" s="6" t="s">
        <v>305</v>
      </c>
      <c r="B344" s="10" t="s">
        <v>305</v>
      </c>
      <c r="C344" s="10" t="s">
        <v>575</v>
      </c>
      <c r="D344" s="6" t="s">
        <v>575</v>
      </c>
      <c r="E344" s="7"/>
      <c r="F344" s="7"/>
      <c r="G344" s="7"/>
      <c r="H344" s="7"/>
      <c r="I344" s="1"/>
      <c r="J344" s="1"/>
      <c r="K344" s="1"/>
      <c r="L344" s="1"/>
      <c r="M344" s="1"/>
      <c r="N344" s="1"/>
      <c r="O344" s="1"/>
      <c r="P344" s="1"/>
      <c r="Q344" s="12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2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2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2"/>
      <c r="CC344" s="13">
        <f t="shared" si="80"/>
        <v>0</v>
      </c>
      <c r="CD344" s="6"/>
      <c r="CE344" s="6"/>
      <c r="CF344" s="6"/>
      <c r="CG344" s="6"/>
      <c r="CH344" s="6"/>
      <c r="CI344" s="6"/>
      <c r="CJ344" s="13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</row>
    <row r="345" spans="1:160" x14ac:dyDescent="0.3">
      <c r="A345" s="6" t="s">
        <v>305</v>
      </c>
      <c r="B345" s="10" t="s">
        <v>305</v>
      </c>
      <c r="C345" s="10" t="s">
        <v>576</v>
      </c>
      <c r="D345" s="6" t="s">
        <v>577</v>
      </c>
      <c r="E345" s="7">
        <v>11.3398</v>
      </c>
      <c r="F345" s="7">
        <v>20.411639999999998</v>
      </c>
      <c r="G345" s="7">
        <v>11</v>
      </c>
      <c r="H345" s="7">
        <v>20</v>
      </c>
      <c r="I345" s="1"/>
      <c r="J345" s="1"/>
      <c r="K345" s="1"/>
      <c r="L345" s="1"/>
      <c r="M345" s="1"/>
      <c r="N345" s="1"/>
      <c r="O345" s="1"/>
      <c r="P345" s="1"/>
      <c r="Q345" s="12">
        <v>15.875719999999999</v>
      </c>
      <c r="R345" s="1"/>
      <c r="S345" s="1"/>
      <c r="T345" s="1">
        <v>15.5</v>
      </c>
      <c r="U345" s="1"/>
      <c r="V345" s="1"/>
      <c r="W345" s="1">
        <f>AVERAGE(X345:Y345)</f>
        <v>15.88</v>
      </c>
      <c r="X345" s="1">
        <v>15.88</v>
      </c>
      <c r="Y345" s="1"/>
      <c r="Z345" s="1"/>
      <c r="AA345" s="1"/>
      <c r="AB345" s="1"/>
      <c r="AC345" s="1"/>
      <c r="AD345" s="1"/>
      <c r="AE345" s="1">
        <f>AVERAGE(E345:P345)</f>
        <v>15.687860000000001</v>
      </c>
      <c r="AF345" s="1">
        <f>AVERAGE(X345:AD345)</f>
        <v>15.88</v>
      </c>
      <c r="AG345" s="1">
        <f>AVERAGE(AE345:AF345)</f>
        <v>15.783930000000002</v>
      </c>
      <c r="AH345" s="1">
        <v>12</v>
      </c>
      <c r="AI345" s="1">
        <v>14</v>
      </c>
      <c r="AJ345" s="1">
        <v>12</v>
      </c>
      <c r="AK345" s="1">
        <v>14</v>
      </c>
      <c r="AL345" s="1">
        <v>13</v>
      </c>
      <c r="AM345" s="1">
        <v>13</v>
      </c>
      <c r="AN345" s="1"/>
      <c r="AO345" s="1"/>
      <c r="AP345" s="1"/>
      <c r="AQ345" s="1">
        <f>AVERAGE(AH345:AK345)</f>
        <v>13</v>
      </c>
      <c r="AR345" s="1"/>
      <c r="AS345" s="12">
        <f>AVERAGE(AN345:AQ345)</f>
        <v>13</v>
      </c>
      <c r="AT345" s="1"/>
      <c r="AU345" s="1"/>
      <c r="AV345" s="1"/>
      <c r="AW345" s="1"/>
      <c r="AX345" s="1"/>
      <c r="AY345" s="1"/>
      <c r="AZ345" s="1">
        <v>5</v>
      </c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>
        <f>AVERAGE(AV345:BI345)</f>
        <v>5</v>
      </c>
      <c r="BN345" s="12">
        <f>AVERAGE(AT345:BK345)</f>
        <v>5</v>
      </c>
      <c r="BO345" s="1"/>
      <c r="BP345" s="1"/>
      <c r="BQ345" s="1"/>
      <c r="BR345" s="1">
        <v>265</v>
      </c>
      <c r="BS345" s="1"/>
      <c r="BT345" s="1"/>
      <c r="BU345" s="1"/>
      <c r="BV345" s="1">
        <v>265</v>
      </c>
      <c r="BW345" s="1"/>
      <c r="BX345" s="1"/>
      <c r="BY345" s="1">
        <f>AVERAGE(BR345:BU345)</f>
        <v>265</v>
      </c>
      <c r="BZ345" s="1">
        <f>BY345/1000</f>
        <v>0.26500000000000001</v>
      </c>
      <c r="CA345" s="1">
        <f>AVERAGE(BQ345:BU345)</f>
        <v>265</v>
      </c>
      <c r="CB345" s="12">
        <f>CA345/1000</f>
        <v>0.26500000000000001</v>
      </c>
      <c r="CC345" s="13">
        <f t="shared" si="80"/>
        <v>1.3250000000000002</v>
      </c>
      <c r="CD345" s="6"/>
      <c r="CE345" s="6"/>
      <c r="CF345" s="6"/>
      <c r="CG345" s="6"/>
      <c r="CH345" s="6"/>
      <c r="CI345" s="6"/>
      <c r="CJ345" s="13">
        <f>((Q345-CB345)/CB345)*100</f>
        <v>5890.8377358490561</v>
      </c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</row>
    <row r="346" spans="1:160" x14ac:dyDescent="0.3">
      <c r="A346" s="6" t="s">
        <v>305</v>
      </c>
      <c r="B346" s="10" t="s">
        <v>305</v>
      </c>
      <c r="C346" s="10" t="s">
        <v>578</v>
      </c>
      <c r="D346" s="6" t="s">
        <v>578</v>
      </c>
      <c r="E346" s="7"/>
      <c r="F346" s="7"/>
      <c r="G346" s="7"/>
      <c r="H346" s="7"/>
      <c r="I346" s="1">
        <v>22.679600000000001</v>
      </c>
      <c r="J346" s="1">
        <v>27.215520000000001</v>
      </c>
      <c r="K346" s="1">
        <v>23</v>
      </c>
      <c r="L346" s="1">
        <v>30</v>
      </c>
      <c r="M346" s="1">
        <v>18.14368</v>
      </c>
      <c r="N346" s="1">
        <v>24.947559999999999</v>
      </c>
      <c r="O346" s="1">
        <v>18</v>
      </c>
      <c r="P346" s="1">
        <v>25</v>
      </c>
      <c r="Q346" s="12">
        <v>23.246590000000001</v>
      </c>
      <c r="R346" s="1">
        <v>24.947559999999999</v>
      </c>
      <c r="S346" s="1">
        <v>21.54562</v>
      </c>
      <c r="T346" s="1">
        <v>24</v>
      </c>
      <c r="U346" s="1">
        <v>26.5</v>
      </c>
      <c r="V346" s="1">
        <v>21.5</v>
      </c>
      <c r="W346" s="1"/>
      <c r="X346" s="1"/>
      <c r="Y346" s="1"/>
      <c r="Z346" s="1"/>
      <c r="AA346" s="1"/>
      <c r="AB346" s="1"/>
      <c r="AC346" s="1"/>
      <c r="AD346" s="1"/>
      <c r="AE346" s="1">
        <f>AVERAGE(E346:P346)</f>
        <v>23.623295000000002</v>
      </c>
      <c r="AF346" s="1"/>
      <c r="AG346" s="1">
        <f>AVERAGE(AE346:AF346)</f>
        <v>23.623295000000002</v>
      </c>
      <c r="AH346" s="1">
        <v>12</v>
      </c>
      <c r="AI346" s="1">
        <v>14</v>
      </c>
      <c r="AJ346" s="1">
        <v>11</v>
      </c>
      <c r="AK346" s="1">
        <v>14</v>
      </c>
      <c r="AL346" s="1">
        <v>13</v>
      </c>
      <c r="AM346" s="1">
        <v>12.5</v>
      </c>
      <c r="AN346" s="1"/>
      <c r="AO346" s="1"/>
      <c r="AP346" s="1"/>
      <c r="AQ346" s="1">
        <f>AVERAGE(AH346:AK346)</f>
        <v>12.75</v>
      </c>
      <c r="AR346" s="1"/>
      <c r="AS346" s="12">
        <f>AVERAGE(AN346:AQ346)</f>
        <v>12.75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2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2"/>
      <c r="CC346" s="13">
        <f t="shared" si="80"/>
        <v>0</v>
      </c>
      <c r="CD346" s="6"/>
      <c r="CE346" s="6"/>
      <c r="CF346" s="6"/>
      <c r="CG346" s="6"/>
      <c r="CH346" s="6"/>
      <c r="CI346" s="6"/>
      <c r="CJ346" s="13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</row>
    <row r="347" spans="1:160" x14ac:dyDescent="0.3">
      <c r="A347" s="6" t="s">
        <v>305</v>
      </c>
      <c r="B347" s="10" t="s">
        <v>305</v>
      </c>
      <c r="C347" s="10" t="s">
        <v>579</v>
      </c>
      <c r="D347" s="6" t="s">
        <v>579</v>
      </c>
      <c r="E347" s="7"/>
      <c r="F347" s="7"/>
      <c r="G347" s="7"/>
      <c r="H347" s="7"/>
      <c r="I347" s="1"/>
      <c r="J347" s="1"/>
      <c r="K347" s="1"/>
      <c r="L347" s="1"/>
      <c r="M347" s="1"/>
      <c r="N347" s="1"/>
      <c r="O347" s="1"/>
      <c r="P347" s="1"/>
      <c r="Q347" s="12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2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2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2"/>
      <c r="CC347" s="13">
        <f t="shared" si="80"/>
        <v>0</v>
      </c>
      <c r="CD347" s="6"/>
      <c r="CE347" s="6"/>
      <c r="CF347" s="6"/>
      <c r="CG347" s="6"/>
      <c r="CH347" s="6"/>
      <c r="CI347" s="6"/>
      <c r="CJ347" s="13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</row>
    <row r="348" spans="1:160" x14ac:dyDescent="0.3">
      <c r="A348" s="6" t="s">
        <v>305</v>
      </c>
      <c r="B348" s="10" t="s">
        <v>305</v>
      </c>
      <c r="C348" s="10" t="s">
        <v>580</v>
      </c>
      <c r="D348" s="6" t="s">
        <v>580</v>
      </c>
      <c r="E348" s="7"/>
      <c r="F348" s="7"/>
      <c r="G348" s="7"/>
      <c r="H348" s="7"/>
      <c r="I348" s="1"/>
      <c r="J348" s="1"/>
      <c r="K348" s="1"/>
      <c r="L348" s="1"/>
      <c r="M348" s="1"/>
      <c r="N348" s="1"/>
      <c r="O348" s="1"/>
      <c r="P348" s="1"/>
      <c r="Q348" s="12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2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2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2"/>
      <c r="CC348" s="13">
        <f t="shared" si="80"/>
        <v>0</v>
      </c>
      <c r="CD348" s="6"/>
      <c r="CE348" s="6"/>
      <c r="CF348" s="6"/>
      <c r="CG348" s="6"/>
      <c r="CH348" s="6"/>
      <c r="CI348" s="6"/>
      <c r="CJ348" s="13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</row>
    <row r="349" spans="1:160" x14ac:dyDescent="0.3">
      <c r="A349" s="6" t="s">
        <v>305</v>
      </c>
      <c r="B349" s="10" t="s">
        <v>305</v>
      </c>
      <c r="C349" s="10" t="s">
        <v>581</v>
      </c>
      <c r="D349" s="6" t="s">
        <v>582</v>
      </c>
      <c r="E349" s="7"/>
      <c r="F349" s="7"/>
      <c r="G349" s="7"/>
      <c r="H349" s="7"/>
      <c r="I349" s="1"/>
      <c r="J349" s="1"/>
      <c r="K349" s="1"/>
      <c r="L349" s="1"/>
      <c r="M349" s="1"/>
      <c r="N349" s="1"/>
      <c r="O349" s="1"/>
      <c r="P349" s="1"/>
      <c r="Q349" s="12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2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2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2"/>
      <c r="CC349" s="13">
        <f t="shared" si="80"/>
        <v>0</v>
      </c>
      <c r="CD349" s="6"/>
      <c r="CE349" s="6"/>
      <c r="CF349" s="6"/>
      <c r="CG349" s="6"/>
      <c r="CH349" s="6"/>
      <c r="CI349" s="6"/>
      <c r="CJ349" s="13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</row>
    <row r="350" spans="1:160" x14ac:dyDescent="0.3">
      <c r="A350" s="6" t="s">
        <v>305</v>
      </c>
      <c r="B350" s="10" t="s">
        <v>305</v>
      </c>
      <c r="C350" s="10" t="s">
        <v>583</v>
      </c>
      <c r="D350" s="6" t="s">
        <v>583</v>
      </c>
      <c r="E350" s="7"/>
      <c r="F350" s="7"/>
      <c r="G350" s="7"/>
      <c r="H350" s="7"/>
      <c r="I350" s="1"/>
      <c r="J350" s="1"/>
      <c r="K350" s="1"/>
      <c r="L350" s="1"/>
      <c r="M350" s="1"/>
      <c r="N350" s="1"/>
      <c r="O350" s="1"/>
      <c r="P350" s="1"/>
      <c r="Q350" s="12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2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2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2"/>
      <c r="CC350" s="13">
        <f t="shared" si="80"/>
        <v>0</v>
      </c>
      <c r="CD350" s="6"/>
      <c r="CE350" s="6"/>
      <c r="CF350" s="6"/>
      <c r="CG350" s="6"/>
      <c r="CH350" s="6"/>
      <c r="CI350" s="6"/>
      <c r="CJ350" s="13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</row>
    <row r="351" spans="1:160" x14ac:dyDescent="0.3">
      <c r="A351" s="6" t="s">
        <v>305</v>
      </c>
      <c r="B351" s="10" t="s">
        <v>305</v>
      </c>
      <c r="C351" s="10" t="s">
        <v>584</v>
      </c>
      <c r="D351" s="6" t="s">
        <v>584</v>
      </c>
      <c r="E351" s="7"/>
      <c r="F351" s="7"/>
      <c r="G351" s="7"/>
      <c r="H351" s="7"/>
      <c r="I351" s="1"/>
      <c r="J351" s="1"/>
      <c r="K351" s="1"/>
      <c r="L351" s="1"/>
      <c r="M351" s="1"/>
      <c r="N351" s="1"/>
      <c r="O351" s="1"/>
      <c r="P351" s="1"/>
      <c r="Q351" s="12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2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2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2"/>
      <c r="CC351" s="13">
        <f t="shared" si="80"/>
        <v>0</v>
      </c>
      <c r="CD351" s="6"/>
      <c r="CE351" s="6"/>
      <c r="CF351" s="6"/>
      <c r="CG351" s="6"/>
      <c r="CH351" s="6"/>
      <c r="CI351" s="6"/>
      <c r="CJ351" s="13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</row>
    <row r="352" spans="1:160" x14ac:dyDescent="0.3">
      <c r="A352" s="6" t="s">
        <v>305</v>
      </c>
      <c r="B352" s="10" t="s">
        <v>305</v>
      </c>
      <c r="C352" s="10" t="s">
        <v>585</v>
      </c>
      <c r="D352" s="6" t="s">
        <v>585</v>
      </c>
      <c r="E352" s="7">
        <v>13.607760000000001</v>
      </c>
      <c r="F352" s="7">
        <v>22.679600000000001</v>
      </c>
      <c r="G352" s="7">
        <v>13.5</v>
      </c>
      <c r="H352" s="7">
        <v>16</v>
      </c>
      <c r="I352" s="1"/>
      <c r="J352" s="1"/>
      <c r="K352" s="1"/>
      <c r="L352" s="1"/>
      <c r="M352" s="1"/>
      <c r="N352" s="1"/>
      <c r="O352" s="1"/>
      <c r="P352" s="1"/>
      <c r="Q352" s="12">
        <v>18.14368</v>
      </c>
      <c r="R352" s="1"/>
      <c r="S352" s="1"/>
      <c r="T352" s="1">
        <v>14.75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>
        <f>AVERAGE(E352:P352)</f>
        <v>16.446840000000002</v>
      </c>
      <c r="AF352" s="1"/>
      <c r="AG352" s="1">
        <f>AVERAGE(AE352:AF352)</f>
        <v>16.446840000000002</v>
      </c>
      <c r="AH352" s="1">
        <v>12</v>
      </c>
      <c r="AI352" s="1">
        <v>14</v>
      </c>
      <c r="AJ352" s="1">
        <v>13</v>
      </c>
      <c r="AK352" s="1">
        <v>15</v>
      </c>
      <c r="AL352" s="1">
        <v>13</v>
      </c>
      <c r="AM352" s="1">
        <v>14</v>
      </c>
      <c r="AN352" s="1"/>
      <c r="AO352" s="1"/>
      <c r="AP352" s="1"/>
      <c r="AQ352" s="1">
        <f>AVERAGE(AH352:AK352)</f>
        <v>13.5</v>
      </c>
      <c r="AR352" s="1"/>
      <c r="AS352" s="12">
        <f>AVERAGE(AN352:AQ352)</f>
        <v>13.5</v>
      </c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2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2"/>
      <c r="CC352" s="13">
        <f t="shared" si="80"/>
        <v>0</v>
      </c>
      <c r="CD352" s="6"/>
      <c r="CE352" s="6"/>
      <c r="CF352" s="6"/>
      <c r="CG352" s="6"/>
      <c r="CH352" s="6"/>
      <c r="CI352" s="6"/>
      <c r="CJ352" s="13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</row>
    <row r="353" spans="1:160" x14ac:dyDescent="0.3">
      <c r="A353" s="6" t="s">
        <v>305</v>
      </c>
      <c r="B353" s="10" t="s">
        <v>305</v>
      </c>
      <c r="C353" s="10" t="s">
        <v>586</v>
      </c>
      <c r="D353" s="6" t="s">
        <v>586</v>
      </c>
      <c r="E353" s="7"/>
      <c r="F353" s="7"/>
      <c r="G353" s="7"/>
      <c r="H353" s="7"/>
      <c r="I353" s="1"/>
      <c r="J353" s="1"/>
      <c r="K353" s="1"/>
      <c r="L353" s="1"/>
      <c r="M353" s="1"/>
      <c r="N353" s="1"/>
      <c r="O353" s="1"/>
      <c r="P353" s="1"/>
      <c r="Q353" s="12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2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2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2"/>
      <c r="CC353" s="13">
        <f t="shared" si="80"/>
        <v>0</v>
      </c>
      <c r="CD353" s="6"/>
      <c r="CE353" s="6"/>
      <c r="CF353" s="6"/>
      <c r="CG353" s="6"/>
      <c r="CH353" s="6"/>
      <c r="CI353" s="6"/>
      <c r="CJ353" s="13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</row>
    <row r="354" spans="1:160" x14ac:dyDescent="0.3">
      <c r="A354" s="6" t="s">
        <v>305</v>
      </c>
      <c r="B354" s="10" t="s">
        <v>305</v>
      </c>
      <c r="C354" s="10" t="s">
        <v>587</v>
      </c>
      <c r="D354" s="6" t="s">
        <v>587</v>
      </c>
      <c r="E354" s="7">
        <v>24.947559999999999</v>
      </c>
      <c r="F354" s="7">
        <v>28.122703999999999</v>
      </c>
      <c r="G354" s="7"/>
      <c r="H354" s="7"/>
      <c r="I354" s="1"/>
      <c r="J354" s="1"/>
      <c r="K354" s="1"/>
      <c r="L354" s="1"/>
      <c r="M354" s="1"/>
      <c r="N354" s="1"/>
      <c r="O354" s="1"/>
      <c r="P354" s="1"/>
      <c r="Q354" s="12">
        <v>26.535132000000001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>
        <f t="shared" ref="AE354:AE360" si="81">AVERAGE(E354:P354)</f>
        <v>26.535131999999997</v>
      </c>
      <c r="AF354" s="1"/>
      <c r="AG354" s="1">
        <f t="shared" ref="AG354:AG360" si="82">AVERAGE(AE354:AF354)</f>
        <v>26.535131999999997</v>
      </c>
      <c r="AH354" s="1">
        <v>12</v>
      </c>
      <c r="AI354" s="1">
        <v>13</v>
      </c>
      <c r="AJ354" s="1"/>
      <c r="AK354" s="1"/>
      <c r="AL354" s="1">
        <v>12.5</v>
      </c>
      <c r="AM354" s="1"/>
      <c r="AN354" s="1"/>
      <c r="AO354" s="1"/>
      <c r="AP354" s="1"/>
      <c r="AQ354" s="1">
        <f t="shared" ref="AQ354:AQ360" si="83">AVERAGE(AH354:AK354)</f>
        <v>12.5</v>
      </c>
      <c r="AR354" s="1"/>
      <c r="AS354" s="12">
        <f t="shared" ref="AS354:AS360" si="84">AVERAGE(AN354:AQ354)</f>
        <v>12.5</v>
      </c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2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2"/>
      <c r="CC354" s="13">
        <f t="shared" ref="CC354:CC417" si="85">CB354*BN354</f>
        <v>0</v>
      </c>
      <c r="CD354" s="6"/>
      <c r="CE354" s="6"/>
      <c r="CF354" s="6"/>
      <c r="CG354" s="6"/>
      <c r="CH354" s="6"/>
      <c r="CI354" s="6"/>
      <c r="CJ354" s="13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</row>
    <row r="355" spans="1:160" x14ac:dyDescent="0.3">
      <c r="A355" s="6" t="s">
        <v>305</v>
      </c>
      <c r="B355" s="10" t="s">
        <v>305</v>
      </c>
      <c r="C355" s="10" t="s">
        <v>588</v>
      </c>
      <c r="D355" s="6" t="s">
        <v>589</v>
      </c>
      <c r="E355" s="7">
        <v>34.926583999999998</v>
      </c>
      <c r="F355" s="7">
        <v>59.874144000000001</v>
      </c>
      <c r="G355" s="7"/>
      <c r="H355" s="7"/>
      <c r="I355" s="1"/>
      <c r="J355" s="1"/>
      <c r="K355" s="1"/>
      <c r="L355" s="1"/>
      <c r="M355" s="1"/>
      <c r="N355" s="1"/>
      <c r="O355" s="1"/>
      <c r="P355" s="1"/>
      <c r="Q355" s="12">
        <v>47.400364000000003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>
        <f t="shared" si="81"/>
        <v>47.400363999999996</v>
      </c>
      <c r="AF355" s="1"/>
      <c r="AG355" s="1">
        <f t="shared" si="82"/>
        <v>47.400363999999996</v>
      </c>
      <c r="AH355" s="1">
        <v>12</v>
      </c>
      <c r="AI355" s="1">
        <v>14</v>
      </c>
      <c r="AJ355" s="1"/>
      <c r="AK355" s="1"/>
      <c r="AL355" s="1">
        <v>13</v>
      </c>
      <c r="AM355" s="1"/>
      <c r="AN355" s="1"/>
      <c r="AO355" s="1"/>
      <c r="AP355" s="1"/>
      <c r="AQ355" s="1">
        <f t="shared" si="83"/>
        <v>13</v>
      </c>
      <c r="AR355" s="1"/>
      <c r="AS355" s="12">
        <f t="shared" si="84"/>
        <v>13</v>
      </c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2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2"/>
      <c r="CC355" s="13">
        <f t="shared" si="85"/>
        <v>0</v>
      </c>
      <c r="CD355" s="6"/>
      <c r="CE355" s="6"/>
      <c r="CF355" s="6"/>
      <c r="CG355" s="6"/>
      <c r="CH355" s="6"/>
      <c r="CI355" s="6"/>
      <c r="CJ355" s="13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</row>
    <row r="356" spans="1:160" x14ac:dyDescent="0.3">
      <c r="A356" s="6" t="s">
        <v>305</v>
      </c>
      <c r="B356" s="10" t="s">
        <v>305</v>
      </c>
      <c r="C356" s="10" t="s">
        <v>590</v>
      </c>
      <c r="D356" s="6" t="s">
        <v>590</v>
      </c>
      <c r="E356" s="7">
        <v>19.958048000000002</v>
      </c>
      <c r="F356" s="7">
        <v>29.937072000000001</v>
      </c>
      <c r="G356" s="7"/>
      <c r="H356" s="7"/>
      <c r="I356" s="1"/>
      <c r="J356" s="1"/>
      <c r="K356" s="1"/>
      <c r="L356" s="1"/>
      <c r="M356" s="1"/>
      <c r="N356" s="1"/>
      <c r="O356" s="1"/>
      <c r="P356" s="1"/>
      <c r="Q356" s="12">
        <v>24.947559999999999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>
        <f t="shared" si="81"/>
        <v>24.947560000000003</v>
      </c>
      <c r="AF356" s="1"/>
      <c r="AG356" s="1">
        <f t="shared" si="82"/>
        <v>24.947560000000003</v>
      </c>
      <c r="AH356" s="1">
        <v>10</v>
      </c>
      <c r="AI356" s="1">
        <v>15</v>
      </c>
      <c r="AJ356" s="1"/>
      <c r="AK356" s="1"/>
      <c r="AL356" s="1">
        <v>12.5</v>
      </c>
      <c r="AM356" s="1"/>
      <c r="AN356" s="1"/>
      <c r="AO356" s="1"/>
      <c r="AP356" s="1"/>
      <c r="AQ356" s="1">
        <f t="shared" si="83"/>
        <v>12.5</v>
      </c>
      <c r="AR356" s="1"/>
      <c r="AS356" s="12">
        <f t="shared" si="84"/>
        <v>12.5</v>
      </c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2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2"/>
      <c r="CC356" s="13">
        <f t="shared" si="85"/>
        <v>0</v>
      </c>
      <c r="CD356" s="6"/>
      <c r="CE356" s="6"/>
      <c r="CF356" s="6"/>
      <c r="CG356" s="6"/>
      <c r="CH356" s="6"/>
      <c r="CI356" s="6"/>
      <c r="CJ356" s="13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</row>
    <row r="357" spans="1:160" x14ac:dyDescent="0.3">
      <c r="A357" s="6" t="s">
        <v>305</v>
      </c>
      <c r="B357" s="10" t="s">
        <v>305</v>
      </c>
      <c r="C357" s="10" t="s">
        <v>591</v>
      </c>
      <c r="D357" s="6" t="s">
        <v>591</v>
      </c>
      <c r="E357" s="7">
        <v>15.875719999999999</v>
      </c>
      <c r="F357" s="7">
        <v>19.958048000000002</v>
      </c>
      <c r="G357" s="7"/>
      <c r="H357" s="7"/>
      <c r="I357" s="1"/>
      <c r="J357" s="1"/>
      <c r="K357" s="1"/>
      <c r="L357" s="1"/>
      <c r="M357" s="1"/>
      <c r="N357" s="1"/>
      <c r="O357" s="1"/>
      <c r="P357" s="1"/>
      <c r="Q357" s="12">
        <v>17.916884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>
        <f t="shared" si="81"/>
        <v>17.916884</v>
      </c>
      <c r="AF357" s="1"/>
      <c r="AG357" s="1">
        <f t="shared" si="82"/>
        <v>17.916884</v>
      </c>
      <c r="AH357" s="1">
        <v>10</v>
      </c>
      <c r="AI357" s="1">
        <v>15</v>
      </c>
      <c r="AJ357" s="1"/>
      <c r="AK357" s="1"/>
      <c r="AL357" s="1">
        <v>12.5</v>
      </c>
      <c r="AM357" s="1"/>
      <c r="AN357" s="1"/>
      <c r="AO357" s="1"/>
      <c r="AP357" s="1"/>
      <c r="AQ357" s="1">
        <f t="shared" si="83"/>
        <v>12.5</v>
      </c>
      <c r="AR357" s="1"/>
      <c r="AS357" s="12">
        <f t="shared" si="84"/>
        <v>12.5</v>
      </c>
      <c r="AT357" s="1"/>
      <c r="AU357" s="1"/>
      <c r="AV357" s="1"/>
      <c r="AW357" s="1"/>
      <c r="AX357" s="1"/>
      <c r="AY357" s="1"/>
      <c r="AZ357" s="1">
        <v>3.5</v>
      </c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>
        <f>AVERAGE(AV357:BI357)</f>
        <v>3.5</v>
      </c>
      <c r="BN357" s="12">
        <f>AVERAGE(AT357:BK357)</f>
        <v>3.5</v>
      </c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2"/>
      <c r="CC357" s="13">
        <f t="shared" si="85"/>
        <v>0</v>
      </c>
      <c r="CD357" s="6"/>
      <c r="CE357" s="6"/>
      <c r="CF357" s="6"/>
      <c r="CG357" s="6"/>
      <c r="CH357" s="6"/>
      <c r="CI357" s="6"/>
      <c r="CJ357" s="13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</row>
    <row r="358" spans="1:160" x14ac:dyDescent="0.3">
      <c r="A358" s="6" t="s">
        <v>305</v>
      </c>
      <c r="B358" s="10" t="s">
        <v>305</v>
      </c>
      <c r="C358" s="10" t="s">
        <v>592</v>
      </c>
      <c r="D358" s="6" t="s">
        <v>592</v>
      </c>
      <c r="E358" s="7">
        <v>4.0823280000000004</v>
      </c>
      <c r="F358" s="7">
        <v>5.8966960000000004</v>
      </c>
      <c r="G358" s="7"/>
      <c r="H358" s="7"/>
      <c r="I358" s="1"/>
      <c r="J358" s="1"/>
      <c r="K358" s="1"/>
      <c r="L358" s="1"/>
      <c r="M358" s="1"/>
      <c r="N358" s="1"/>
      <c r="O358" s="1"/>
      <c r="P358" s="1"/>
      <c r="Q358" s="12">
        <v>4.9895120000000004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>
        <f t="shared" si="81"/>
        <v>4.9895120000000004</v>
      </c>
      <c r="AF358" s="1"/>
      <c r="AG358" s="1">
        <f t="shared" si="82"/>
        <v>4.9895120000000004</v>
      </c>
      <c r="AH358" s="1">
        <v>12</v>
      </c>
      <c r="AI358" s="1">
        <v>15</v>
      </c>
      <c r="AJ358" s="1"/>
      <c r="AK358" s="1"/>
      <c r="AL358" s="1">
        <v>13.5</v>
      </c>
      <c r="AM358" s="1"/>
      <c r="AN358" s="1"/>
      <c r="AO358" s="1"/>
      <c r="AP358" s="1"/>
      <c r="AQ358" s="1">
        <f t="shared" si="83"/>
        <v>13.5</v>
      </c>
      <c r="AR358" s="1"/>
      <c r="AS358" s="12">
        <f t="shared" si="84"/>
        <v>13.5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2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2"/>
      <c r="CC358" s="13">
        <f t="shared" si="85"/>
        <v>0</v>
      </c>
      <c r="CD358" s="6"/>
      <c r="CE358" s="6"/>
      <c r="CF358" s="6"/>
      <c r="CG358" s="6"/>
      <c r="CH358" s="6"/>
      <c r="CI358" s="6"/>
      <c r="CJ358" s="13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</row>
    <row r="359" spans="1:160" x14ac:dyDescent="0.3">
      <c r="A359" s="6" t="s">
        <v>305</v>
      </c>
      <c r="B359" s="10" t="s">
        <v>305</v>
      </c>
      <c r="C359" s="10" t="s">
        <v>593</v>
      </c>
      <c r="D359" s="6" t="s">
        <v>593</v>
      </c>
      <c r="E359" s="7">
        <v>15.875719999999999</v>
      </c>
      <c r="F359" s="7">
        <v>26.761928000000001</v>
      </c>
      <c r="G359" s="7"/>
      <c r="H359" s="7"/>
      <c r="I359" s="1"/>
      <c r="J359" s="1"/>
      <c r="K359" s="1"/>
      <c r="L359" s="1"/>
      <c r="M359" s="1"/>
      <c r="N359" s="1"/>
      <c r="O359" s="1"/>
      <c r="P359" s="1"/>
      <c r="Q359" s="12">
        <v>21.318823999999999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>
        <f t="shared" si="81"/>
        <v>21.318823999999999</v>
      </c>
      <c r="AF359" s="1"/>
      <c r="AG359" s="1">
        <f t="shared" si="82"/>
        <v>21.318823999999999</v>
      </c>
      <c r="AH359" s="1">
        <v>14</v>
      </c>
      <c r="AI359" s="1"/>
      <c r="AJ359" s="1"/>
      <c r="AK359" s="1"/>
      <c r="AL359" s="1">
        <v>14</v>
      </c>
      <c r="AM359" s="1"/>
      <c r="AN359" s="1"/>
      <c r="AO359" s="1"/>
      <c r="AP359" s="1"/>
      <c r="AQ359" s="1">
        <f t="shared" si="83"/>
        <v>14</v>
      </c>
      <c r="AR359" s="1"/>
      <c r="AS359" s="12">
        <f t="shared" si="84"/>
        <v>14</v>
      </c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2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2"/>
      <c r="CC359" s="13">
        <f t="shared" si="85"/>
        <v>0</v>
      </c>
      <c r="CD359" s="6"/>
      <c r="CE359" s="6"/>
      <c r="CF359" s="6"/>
      <c r="CG359" s="6"/>
      <c r="CH359" s="6"/>
      <c r="CI359" s="6"/>
      <c r="CJ359" s="13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</row>
    <row r="360" spans="1:160" x14ac:dyDescent="0.3">
      <c r="A360" s="6" t="s">
        <v>305</v>
      </c>
      <c r="B360" s="10" t="s">
        <v>305</v>
      </c>
      <c r="C360" s="10" t="s">
        <v>594</v>
      </c>
      <c r="D360" s="6" t="s">
        <v>595</v>
      </c>
      <c r="E360" s="7">
        <v>17.009699999999999</v>
      </c>
      <c r="F360" s="7">
        <v>26.761928000000001</v>
      </c>
      <c r="G360" s="7"/>
      <c r="H360" s="7"/>
      <c r="I360" s="1"/>
      <c r="J360" s="1"/>
      <c r="K360" s="1"/>
      <c r="L360" s="1"/>
      <c r="M360" s="1"/>
      <c r="N360" s="1"/>
      <c r="O360" s="1"/>
      <c r="P360" s="1"/>
      <c r="Q360" s="12">
        <v>21.885814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>
        <f t="shared" si="81"/>
        <v>21.885814</v>
      </c>
      <c r="AF360" s="1"/>
      <c r="AG360" s="1">
        <f t="shared" si="82"/>
        <v>21.885814</v>
      </c>
      <c r="AH360" s="1">
        <v>12</v>
      </c>
      <c r="AI360" s="1">
        <v>13</v>
      </c>
      <c r="AJ360" s="1"/>
      <c r="AK360" s="1"/>
      <c r="AL360" s="1">
        <v>12.5</v>
      </c>
      <c r="AM360" s="1"/>
      <c r="AN360" s="1"/>
      <c r="AO360" s="1"/>
      <c r="AP360" s="1"/>
      <c r="AQ360" s="1">
        <f t="shared" si="83"/>
        <v>12.5</v>
      </c>
      <c r="AR360" s="1"/>
      <c r="AS360" s="12">
        <f t="shared" si="84"/>
        <v>12.5</v>
      </c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2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2"/>
      <c r="CC360" s="13">
        <f t="shared" si="85"/>
        <v>0</v>
      </c>
      <c r="CD360" s="6"/>
      <c r="CE360" s="6"/>
      <c r="CF360" s="6"/>
      <c r="CG360" s="6"/>
      <c r="CH360" s="6"/>
      <c r="CI360" s="6"/>
      <c r="CJ360" s="13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</row>
    <row r="361" spans="1:160" x14ac:dyDescent="0.3">
      <c r="A361" s="6" t="s">
        <v>305</v>
      </c>
      <c r="B361" s="10" t="s">
        <v>305</v>
      </c>
      <c r="C361" s="10" t="s">
        <v>596</v>
      </c>
      <c r="D361" s="6" t="s">
        <v>596</v>
      </c>
      <c r="E361" s="7"/>
      <c r="F361" s="7"/>
      <c r="G361" s="7"/>
      <c r="H361" s="7"/>
      <c r="I361" s="1"/>
      <c r="J361" s="1"/>
      <c r="K361" s="1"/>
      <c r="L361" s="1"/>
      <c r="M361" s="1"/>
      <c r="N361" s="1"/>
      <c r="O361" s="1"/>
      <c r="P361" s="1"/>
      <c r="Q361" s="12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2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2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2"/>
      <c r="CC361" s="13">
        <f t="shared" si="85"/>
        <v>0</v>
      </c>
      <c r="CD361" s="6"/>
      <c r="CE361" s="6"/>
      <c r="CF361" s="6"/>
      <c r="CG361" s="6"/>
      <c r="CH361" s="6"/>
      <c r="CI361" s="6"/>
      <c r="CJ361" s="13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</row>
    <row r="362" spans="1:160" x14ac:dyDescent="0.3">
      <c r="A362" s="6" t="s">
        <v>305</v>
      </c>
      <c r="B362" s="10" t="s">
        <v>305</v>
      </c>
      <c r="C362" s="10" t="s">
        <v>597</v>
      </c>
      <c r="D362" s="6" t="s">
        <v>597</v>
      </c>
      <c r="E362" s="7"/>
      <c r="F362" s="7"/>
      <c r="G362" s="7"/>
      <c r="H362" s="7"/>
      <c r="I362" s="1"/>
      <c r="J362" s="1"/>
      <c r="K362" s="1"/>
      <c r="L362" s="1"/>
      <c r="M362" s="1"/>
      <c r="N362" s="1"/>
      <c r="O362" s="1"/>
      <c r="P362" s="1"/>
      <c r="Q362" s="12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2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2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2"/>
      <c r="CC362" s="13">
        <f t="shared" si="85"/>
        <v>0</v>
      </c>
      <c r="CD362" s="6"/>
      <c r="CE362" s="6"/>
      <c r="CF362" s="6"/>
      <c r="CG362" s="6"/>
      <c r="CH362" s="6"/>
      <c r="CI362" s="6"/>
      <c r="CJ362" s="13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</row>
    <row r="363" spans="1:160" x14ac:dyDescent="0.3">
      <c r="A363" s="6" t="s">
        <v>305</v>
      </c>
      <c r="B363" s="10" t="s">
        <v>305</v>
      </c>
      <c r="C363" s="10" t="s">
        <v>598</v>
      </c>
      <c r="D363" s="6" t="s">
        <v>598</v>
      </c>
      <c r="E363" s="7">
        <v>38.101728000000001</v>
      </c>
      <c r="F363" s="7">
        <v>49.895119999999999</v>
      </c>
      <c r="G363" s="7"/>
      <c r="H363" s="7"/>
      <c r="I363" s="1"/>
      <c r="J363" s="1"/>
      <c r="K363" s="1"/>
      <c r="L363" s="1"/>
      <c r="M363" s="1"/>
      <c r="N363" s="1"/>
      <c r="O363" s="1"/>
      <c r="P363" s="1"/>
      <c r="Q363" s="12">
        <v>43.998424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>
        <f>AVERAGE(E363:P363)</f>
        <v>43.998424</v>
      </c>
      <c r="AF363" s="1"/>
      <c r="AG363" s="1">
        <f>AVERAGE(AE363:AF363)</f>
        <v>43.998424</v>
      </c>
      <c r="AH363" s="1">
        <v>9</v>
      </c>
      <c r="AI363" s="1">
        <v>11</v>
      </c>
      <c r="AJ363" s="1"/>
      <c r="AK363" s="1"/>
      <c r="AL363" s="1">
        <v>10</v>
      </c>
      <c r="AM363" s="1"/>
      <c r="AN363" s="1"/>
      <c r="AO363" s="1"/>
      <c r="AP363" s="1"/>
      <c r="AQ363" s="1">
        <f>AVERAGE(AH363:AK363)</f>
        <v>10</v>
      </c>
      <c r="AR363" s="1"/>
      <c r="AS363" s="12">
        <f>AVERAGE(AN363:AQ363)</f>
        <v>10</v>
      </c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2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2"/>
      <c r="CC363" s="13">
        <f t="shared" si="85"/>
        <v>0</v>
      </c>
      <c r="CD363" s="6"/>
      <c r="CE363" s="6"/>
      <c r="CF363" s="6"/>
      <c r="CG363" s="6"/>
      <c r="CH363" s="6"/>
      <c r="CI363" s="6"/>
      <c r="CJ363" s="13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</row>
    <row r="364" spans="1:160" x14ac:dyDescent="0.3">
      <c r="A364" s="6" t="s">
        <v>305</v>
      </c>
      <c r="B364" s="10" t="s">
        <v>305</v>
      </c>
      <c r="C364" s="10" t="s">
        <v>599</v>
      </c>
      <c r="D364" s="6" t="s">
        <v>599</v>
      </c>
      <c r="E364" s="7">
        <v>20.411639999999998</v>
      </c>
      <c r="F364" s="7">
        <v>31.751439999999999</v>
      </c>
      <c r="G364" s="7"/>
      <c r="H364" s="7"/>
      <c r="I364" s="1"/>
      <c r="J364" s="1"/>
      <c r="K364" s="1"/>
      <c r="L364" s="1"/>
      <c r="M364" s="1"/>
      <c r="N364" s="1"/>
      <c r="O364" s="1"/>
      <c r="P364" s="1"/>
      <c r="Q364" s="12">
        <v>26.08154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>
        <f>AVERAGE(E364:P364)</f>
        <v>26.081539999999997</v>
      </c>
      <c r="AF364" s="1"/>
      <c r="AG364" s="1">
        <f>AVERAGE(AE364:AF364)</f>
        <v>26.081539999999997</v>
      </c>
      <c r="AH364" s="1">
        <v>14</v>
      </c>
      <c r="AI364" s="1"/>
      <c r="AJ364" s="1"/>
      <c r="AK364" s="1"/>
      <c r="AL364" s="1">
        <v>14</v>
      </c>
      <c r="AM364" s="1"/>
      <c r="AN364" s="1"/>
      <c r="AO364" s="1"/>
      <c r="AP364" s="1"/>
      <c r="AQ364" s="1">
        <f>AVERAGE(AH364:AK364)</f>
        <v>14</v>
      </c>
      <c r="AR364" s="1"/>
      <c r="AS364" s="12">
        <f>AVERAGE(AN364:AQ364)</f>
        <v>14</v>
      </c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2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2"/>
      <c r="CC364" s="13">
        <f t="shared" si="85"/>
        <v>0</v>
      </c>
      <c r="CD364" s="6"/>
      <c r="CE364" s="6"/>
      <c r="CF364" s="6"/>
      <c r="CG364" s="6"/>
      <c r="CH364" s="6"/>
      <c r="CI364" s="6"/>
      <c r="CJ364" s="13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</row>
    <row r="365" spans="1:160" x14ac:dyDescent="0.3">
      <c r="A365" s="6" t="s">
        <v>305</v>
      </c>
      <c r="B365" s="10" t="s">
        <v>305</v>
      </c>
      <c r="C365" s="10" t="s">
        <v>600</v>
      </c>
      <c r="D365" s="6" t="s">
        <v>600</v>
      </c>
      <c r="E365" s="7"/>
      <c r="F365" s="7"/>
      <c r="G365" s="7"/>
      <c r="H365" s="7"/>
      <c r="I365" s="1"/>
      <c r="J365" s="1"/>
      <c r="K365" s="1"/>
      <c r="L365" s="1"/>
      <c r="M365" s="1"/>
      <c r="N365" s="1"/>
      <c r="O365" s="1"/>
      <c r="P365" s="1"/>
      <c r="Q365" s="12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2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2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2"/>
      <c r="CC365" s="13">
        <f t="shared" si="85"/>
        <v>0</v>
      </c>
      <c r="CD365" s="6"/>
      <c r="CE365" s="6"/>
      <c r="CF365" s="6"/>
      <c r="CG365" s="6"/>
      <c r="CH365" s="6"/>
      <c r="CI365" s="6"/>
      <c r="CJ365" s="13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</row>
    <row r="366" spans="1:160" x14ac:dyDescent="0.3">
      <c r="A366" s="6" t="s">
        <v>305</v>
      </c>
      <c r="B366" s="10" t="s">
        <v>305</v>
      </c>
      <c r="C366" s="10" t="s">
        <v>601</v>
      </c>
      <c r="D366" s="6" t="s">
        <v>601</v>
      </c>
      <c r="E366" s="7"/>
      <c r="F366" s="7"/>
      <c r="G366" s="7"/>
      <c r="H366" s="7"/>
      <c r="I366" s="1"/>
      <c r="J366" s="1"/>
      <c r="K366" s="1"/>
      <c r="L366" s="1"/>
      <c r="M366" s="1"/>
      <c r="N366" s="1"/>
      <c r="O366" s="1"/>
      <c r="P366" s="1"/>
      <c r="Q366" s="12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2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2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2"/>
      <c r="CC366" s="13">
        <f t="shared" si="85"/>
        <v>0</v>
      </c>
      <c r="CD366" s="6"/>
      <c r="CE366" s="6"/>
      <c r="CF366" s="6"/>
      <c r="CG366" s="6"/>
      <c r="CH366" s="6"/>
      <c r="CI366" s="6"/>
      <c r="CJ366" s="13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</row>
    <row r="367" spans="1:160" x14ac:dyDescent="0.3">
      <c r="A367" s="6" t="s">
        <v>305</v>
      </c>
      <c r="B367" s="10" t="s">
        <v>305</v>
      </c>
      <c r="C367" s="10" t="s">
        <v>602</v>
      </c>
      <c r="D367" s="6" t="s">
        <v>602</v>
      </c>
      <c r="E367" s="7">
        <v>54.431040000000003</v>
      </c>
      <c r="F367" s="7">
        <v>108.86208000000001</v>
      </c>
      <c r="G367" s="7"/>
      <c r="H367" s="7"/>
      <c r="I367" s="1"/>
      <c r="J367" s="1"/>
      <c r="K367" s="1"/>
      <c r="L367" s="1"/>
      <c r="M367" s="1"/>
      <c r="N367" s="1"/>
      <c r="O367" s="1"/>
      <c r="P367" s="1"/>
      <c r="Q367" s="12">
        <v>81.646559999999994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>
        <f>AVERAGE(E367:P367)</f>
        <v>81.646560000000008</v>
      </c>
      <c r="AF367" s="1"/>
      <c r="AG367" s="1">
        <f>AVERAGE(AE367:AF367)</f>
        <v>81.646560000000008</v>
      </c>
      <c r="AH367" s="1">
        <v>10</v>
      </c>
      <c r="AI367" s="1">
        <v>13</v>
      </c>
      <c r="AJ367" s="1"/>
      <c r="AK367" s="1"/>
      <c r="AL367" s="1">
        <v>11.5</v>
      </c>
      <c r="AM367" s="1"/>
      <c r="AN367" s="1"/>
      <c r="AO367" s="1"/>
      <c r="AP367" s="1"/>
      <c r="AQ367" s="1">
        <f>AVERAGE(AH367:AK367)</f>
        <v>11.5</v>
      </c>
      <c r="AR367" s="1"/>
      <c r="AS367" s="12">
        <f>AVERAGE(AN367:AQ367)</f>
        <v>11.5</v>
      </c>
      <c r="AT367" s="1"/>
      <c r="AU367" s="1"/>
      <c r="AV367" s="1"/>
      <c r="AW367" s="1"/>
      <c r="AX367" s="1"/>
      <c r="AY367" s="1"/>
      <c r="AZ367" s="1">
        <v>5</v>
      </c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>
        <f>AVERAGE(AV367:BI367)</f>
        <v>5</v>
      </c>
      <c r="BN367" s="12">
        <f>AVERAGE(AT367:BK367)</f>
        <v>5</v>
      </c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2"/>
      <c r="CC367" s="13">
        <f t="shared" si="85"/>
        <v>0</v>
      </c>
      <c r="CD367" s="6"/>
      <c r="CE367" s="6"/>
      <c r="CF367" s="6"/>
      <c r="CG367" s="6"/>
      <c r="CH367" s="6"/>
      <c r="CI367" s="6"/>
      <c r="CJ367" s="13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</row>
    <row r="368" spans="1:160" x14ac:dyDescent="0.3">
      <c r="A368" s="6" t="s">
        <v>305</v>
      </c>
      <c r="B368" s="10" t="s">
        <v>305</v>
      </c>
      <c r="C368" s="10" t="s">
        <v>603</v>
      </c>
      <c r="D368" s="6" t="s">
        <v>604</v>
      </c>
      <c r="E368" s="7"/>
      <c r="F368" s="7"/>
      <c r="G368" s="7"/>
      <c r="H368" s="7"/>
      <c r="I368" s="1"/>
      <c r="J368" s="1"/>
      <c r="K368" s="1"/>
      <c r="L368" s="1"/>
      <c r="M368" s="1"/>
      <c r="N368" s="1"/>
      <c r="O368" s="1"/>
      <c r="P368" s="1"/>
      <c r="Q368" s="12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2"/>
      <c r="AT368" s="1"/>
      <c r="AU368" s="1"/>
      <c r="AV368" s="1"/>
      <c r="AW368" s="1"/>
      <c r="AX368" s="1"/>
      <c r="AY368" s="1"/>
      <c r="AZ368" s="1">
        <v>7.3</v>
      </c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>
        <f>AVERAGE(AV368:BI368)</f>
        <v>7.3</v>
      </c>
      <c r="BN368" s="12">
        <f>AVERAGE(AT368:BK368)</f>
        <v>7.3</v>
      </c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2"/>
      <c r="CC368" s="13">
        <f t="shared" si="85"/>
        <v>0</v>
      </c>
      <c r="CD368" s="6"/>
      <c r="CE368" s="6"/>
      <c r="CF368" s="6"/>
      <c r="CG368" s="6"/>
      <c r="CH368" s="6"/>
      <c r="CI368" s="6"/>
      <c r="CJ368" s="13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</row>
    <row r="369" spans="1:160" x14ac:dyDescent="0.3">
      <c r="A369" s="6" t="s">
        <v>305</v>
      </c>
      <c r="B369" s="10" t="s">
        <v>305</v>
      </c>
      <c r="C369" s="10" t="s">
        <v>605</v>
      </c>
      <c r="D369" s="6" t="s">
        <v>606</v>
      </c>
      <c r="E369" s="7">
        <v>6.8038800000000004</v>
      </c>
      <c r="F369" s="7">
        <v>13.607760000000001</v>
      </c>
      <c r="G369" s="7">
        <v>7</v>
      </c>
      <c r="H369" s="7">
        <v>15</v>
      </c>
      <c r="I369" s="1"/>
      <c r="J369" s="1"/>
      <c r="K369" s="1"/>
      <c r="L369" s="1"/>
      <c r="M369" s="1"/>
      <c r="N369" s="1"/>
      <c r="O369" s="1"/>
      <c r="P369" s="1"/>
      <c r="Q369" s="12">
        <v>10.205819999999999</v>
      </c>
      <c r="R369" s="1"/>
      <c r="S369" s="1"/>
      <c r="T369" s="1">
        <v>11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>
        <f>AVERAGE(E369:P369)</f>
        <v>10.602910000000001</v>
      </c>
      <c r="AF369" s="1"/>
      <c r="AG369" s="1">
        <f>AVERAGE(AE369:AF369)</f>
        <v>10.602910000000001</v>
      </c>
      <c r="AH369" s="1"/>
      <c r="AI369" s="1"/>
      <c r="AJ369" s="1">
        <v>9</v>
      </c>
      <c r="AK369" s="1">
        <v>12</v>
      </c>
      <c r="AL369" s="1"/>
      <c r="AM369" s="1">
        <v>10.5</v>
      </c>
      <c r="AN369" s="1"/>
      <c r="AO369" s="1"/>
      <c r="AP369" s="1"/>
      <c r="AQ369" s="1">
        <f>AVERAGE(AH369:AK369)</f>
        <v>10.5</v>
      </c>
      <c r="AR369" s="1"/>
      <c r="AS369" s="12">
        <f>AVERAGE(AN369:AQ369)</f>
        <v>10.5</v>
      </c>
      <c r="AT369" s="1"/>
      <c r="AU369" s="1"/>
      <c r="AV369" s="1"/>
      <c r="AW369" s="1"/>
      <c r="AX369" s="1"/>
      <c r="AY369" s="1"/>
      <c r="AZ369" s="1">
        <v>3</v>
      </c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>
        <f>AVERAGE(AV369:BI369)</f>
        <v>3</v>
      </c>
      <c r="BN369" s="12">
        <f>AVERAGE(AT369:BK369)</f>
        <v>3</v>
      </c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2"/>
      <c r="CC369" s="13">
        <f t="shared" si="85"/>
        <v>0</v>
      </c>
      <c r="CD369" s="6"/>
      <c r="CE369" s="6"/>
      <c r="CF369" s="6"/>
      <c r="CG369" s="6"/>
      <c r="CH369" s="6"/>
      <c r="CI369" s="6"/>
      <c r="CJ369" s="13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</row>
    <row r="370" spans="1:160" x14ac:dyDescent="0.3">
      <c r="A370" s="6" t="s">
        <v>305</v>
      </c>
      <c r="B370" s="10" t="s">
        <v>305</v>
      </c>
      <c r="C370" s="10" t="s">
        <v>607</v>
      </c>
      <c r="D370" s="6" t="s">
        <v>607</v>
      </c>
      <c r="E370" s="7"/>
      <c r="F370" s="7"/>
      <c r="G370" s="7"/>
      <c r="H370" s="7"/>
      <c r="I370" s="1"/>
      <c r="J370" s="1"/>
      <c r="K370" s="1"/>
      <c r="L370" s="1"/>
      <c r="M370" s="1"/>
      <c r="N370" s="1"/>
      <c r="O370" s="1"/>
      <c r="P370" s="1"/>
      <c r="Q370" s="12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2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2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2"/>
      <c r="CC370" s="13">
        <f t="shared" si="85"/>
        <v>0</v>
      </c>
      <c r="CD370" s="6"/>
      <c r="CE370" s="6"/>
      <c r="CF370" s="6"/>
      <c r="CG370" s="6"/>
      <c r="CH370" s="6"/>
      <c r="CI370" s="6"/>
      <c r="CJ370" s="13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</row>
    <row r="371" spans="1:160" x14ac:dyDescent="0.3">
      <c r="A371" s="6" t="s">
        <v>305</v>
      </c>
      <c r="B371" s="10" t="s">
        <v>305</v>
      </c>
      <c r="C371" s="10" t="s">
        <v>608</v>
      </c>
      <c r="D371" s="6" t="s">
        <v>608</v>
      </c>
      <c r="E371" s="7">
        <v>4.53592</v>
      </c>
      <c r="F371" s="7">
        <v>11.3398</v>
      </c>
      <c r="G371" s="7"/>
      <c r="H371" s="7"/>
      <c r="I371" s="1"/>
      <c r="J371" s="1"/>
      <c r="K371" s="1"/>
      <c r="L371" s="1"/>
      <c r="M371" s="1"/>
      <c r="N371" s="1"/>
      <c r="O371" s="1"/>
      <c r="P371" s="1"/>
      <c r="Q371" s="12">
        <v>7.9378599999999997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>
        <f>AVERAGE(E371:P371)</f>
        <v>7.9378600000000006</v>
      </c>
      <c r="AF371" s="1"/>
      <c r="AG371" s="1">
        <f>AVERAGE(AE371:AF371)</f>
        <v>7.9378600000000006</v>
      </c>
      <c r="AH371" s="1">
        <v>12</v>
      </c>
      <c r="AI371" s="1">
        <v>18</v>
      </c>
      <c r="AJ371" s="1"/>
      <c r="AK371" s="1"/>
      <c r="AL371" s="1">
        <v>15</v>
      </c>
      <c r="AM371" s="1"/>
      <c r="AN371" s="1"/>
      <c r="AO371" s="1"/>
      <c r="AP371" s="1"/>
      <c r="AQ371" s="1">
        <f>AVERAGE(AH371:AK371)</f>
        <v>15</v>
      </c>
      <c r="AR371" s="1"/>
      <c r="AS371" s="12">
        <f>AVERAGE(AN371:AQ371)</f>
        <v>15</v>
      </c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2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2"/>
      <c r="CC371" s="13">
        <f t="shared" si="85"/>
        <v>0</v>
      </c>
      <c r="CD371" s="6"/>
      <c r="CE371" s="6"/>
      <c r="CF371" s="6"/>
      <c r="CG371" s="6"/>
      <c r="CH371" s="6"/>
      <c r="CI371" s="6"/>
      <c r="CJ371" s="13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</row>
    <row r="372" spans="1:160" x14ac:dyDescent="0.3">
      <c r="A372" s="6" t="s">
        <v>305</v>
      </c>
      <c r="B372" s="10" t="s">
        <v>305</v>
      </c>
      <c r="C372" s="10" t="s">
        <v>609</v>
      </c>
      <c r="D372" s="6" t="s">
        <v>609</v>
      </c>
      <c r="E372" s="7"/>
      <c r="F372" s="7"/>
      <c r="G372" s="7"/>
      <c r="H372" s="7"/>
      <c r="I372" s="1">
        <v>12.927372</v>
      </c>
      <c r="J372" s="1">
        <v>15.875719999999999</v>
      </c>
      <c r="K372" s="1"/>
      <c r="L372" s="1"/>
      <c r="M372" s="1">
        <v>10.886208</v>
      </c>
      <c r="N372" s="1">
        <v>14.061351999999999</v>
      </c>
      <c r="O372" s="1"/>
      <c r="P372" s="1"/>
      <c r="Q372" s="12">
        <v>13.437663000000001</v>
      </c>
      <c r="R372" s="1">
        <v>14.401546</v>
      </c>
      <c r="S372" s="1">
        <v>12.47378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>
        <f>AVERAGE(E372:P372)</f>
        <v>13.437663000000001</v>
      </c>
      <c r="AF372" s="1"/>
      <c r="AG372" s="1">
        <f>AVERAGE(AE372:AF372)</f>
        <v>13.437663000000001</v>
      </c>
      <c r="AH372" s="1">
        <v>15</v>
      </c>
      <c r="AI372" s="1">
        <v>17</v>
      </c>
      <c r="AJ372" s="1"/>
      <c r="AK372" s="1"/>
      <c r="AL372" s="1">
        <v>16</v>
      </c>
      <c r="AM372" s="1"/>
      <c r="AN372" s="1"/>
      <c r="AO372" s="1"/>
      <c r="AP372" s="1"/>
      <c r="AQ372" s="1">
        <f>AVERAGE(AH372:AK372)</f>
        <v>16</v>
      </c>
      <c r="AR372" s="1"/>
      <c r="AS372" s="12">
        <f>AVERAGE(AN372:AQ372)</f>
        <v>16</v>
      </c>
      <c r="AT372" s="1"/>
      <c r="AU372" s="1"/>
      <c r="AV372" s="1"/>
      <c r="AW372" s="1"/>
      <c r="AX372" s="1"/>
      <c r="AY372" s="1"/>
      <c r="AZ372" s="1">
        <v>6.7</v>
      </c>
      <c r="BA372" s="1"/>
      <c r="BB372" s="1"/>
      <c r="BC372" s="1"/>
      <c r="BD372" s="1"/>
      <c r="BE372" s="1">
        <v>8.5</v>
      </c>
      <c r="BF372" s="1"/>
      <c r="BG372" s="1"/>
      <c r="BH372" s="1"/>
      <c r="BI372" s="1"/>
      <c r="BJ372" s="1"/>
      <c r="BK372" s="1"/>
      <c r="BL372" s="1"/>
      <c r="BM372" s="1">
        <f>AVERAGE(AV372:BI372)</f>
        <v>7.6</v>
      </c>
      <c r="BN372" s="12">
        <f>AVERAGE(AT372:BK372)</f>
        <v>7.6</v>
      </c>
      <c r="BO372" s="1"/>
      <c r="BP372" s="1"/>
      <c r="BQ372" s="1"/>
      <c r="BR372" s="1"/>
      <c r="BS372" s="1"/>
      <c r="BT372" s="1">
        <v>264</v>
      </c>
      <c r="BU372" s="1"/>
      <c r="BV372" s="1"/>
      <c r="BW372" s="1"/>
      <c r="BX372" s="1"/>
      <c r="BY372" s="1">
        <f>AVERAGE(BR372:BU372)</f>
        <v>264</v>
      </c>
      <c r="BZ372" s="1">
        <f>BY372/1000</f>
        <v>0.26400000000000001</v>
      </c>
      <c r="CA372" s="1">
        <f>AVERAGE(BQ372:BU372)</f>
        <v>264</v>
      </c>
      <c r="CB372" s="12">
        <f>CA372/1000</f>
        <v>0.26400000000000001</v>
      </c>
      <c r="CC372" s="13">
        <f t="shared" si="85"/>
        <v>2.0064000000000002</v>
      </c>
      <c r="CD372" s="6"/>
      <c r="CE372" s="6"/>
      <c r="CF372" s="6"/>
      <c r="CG372" s="6"/>
      <c r="CH372" s="6"/>
      <c r="CI372" s="6"/>
      <c r="CJ372" s="13">
        <f>((Q372-CB372)/CB372)*100</f>
        <v>4990.0238636363638</v>
      </c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</row>
    <row r="373" spans="1:160" x14ac:dyDescent="0.3">
      <c r="A373" s="6" t="s">
        <v>305</v>
      </c>
      <c r="B373" s="10" t="s">
        <v>305</v>
      </c>
      <c r="C373" s="10" t="s">
        <v>610</v>
      </c>
      <c r="D373" s="6" t="s">
        <v>611</v>
      </c>
      <c r="E373" s="7"/>
      <c r="F373" s="7"/>
      <c r="G373" s="7"/>
      <c r="H373" s="7"/>
      <c r="I373" s="1"/>
      <c r="J373" s="1"/>
      <c r="K373" s="1"/>
      <c r="L373" s="1"/>
      <c r="M373" s="1"/>
      <c r="N373" s="1"/>
      <c r="O373" s="1"/>
      <c r="P373" s="1"/>
      <c r="Q373" s="12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2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2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2"/>
      <c r="CC373" s="13">
        <f t="shared" si="85"/>
        <v>0</v>
      </c>
      <c r="CD373" s="6"/>
      <c r="CE373" s="6"/>
      <c r="CF373" s="6"/>
      <c r="CG373" s="6"/>
      <c r="CH373" s="6"/>
      <c r="CI373" s="6"/>
      <c r="CJ373" s="13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</row>
    <row r="374" spans="1:160" x14ac:dyDescent="0.3">
      <c r="A374" s="6" t="s">
        <v>305</v>
      </c>
      <c r="B374" s="10" t="s">
        <v>305</v>
      </c>
      <c r="C374" s="10" t="s">
        <v>612</v>
      </c>
      <c r="D374" s="6" t="s">
        <v>613</v>
      </c>
      <c r="E374" s="7"/>
      <c r="F374" s="7"/>
      <c r="G374" s="7"/>
      <c r="H374" s="7"/>
      <c r="I374" s="1"/>
      <c r="J374" s="1"/>
      <c r="K374" s="1"/>
      <c r="L374" s="1"/>
      <c r="M374" s="1"/>
      <c r="N374" s="1"/>
      <c r="O374" s="1"/>
      <c r="P374" s="1"/>
      <c r="Q374" s="12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2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2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2"/>
      <c r="CC374" s="13">
        <f t="shared" si="85"/>
        <v>0</v>
      </c>
      <c r="CD374" s="6"/>
      <c r="CE374" s="6"/>
      <c r="CF374" s="6"/>
      <c r="CG374" s="6"/>
      <c r="CH374" s="6"/>
      <c r="CI374" s="6"/>
      <c r="CJ374" s="13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</row>
    <row r="375" spans="1:160" x14ac:dyDescent="0.3">
      <c r="A375" s="6" t="s">
        <v>305</v>
      </c>
      <c r="B375" s="10" t="s">
        <v>305</v>
      </c>
      <c r="C375" s="10" t="s">
        <v>614</v>
      </c>
      <c r="D375" s="6" t="s">
        <v>615</v>
      </c>
      <c r="E375" s="7">
        <v>45.359200000000001</v>
      </c>
      <c r="F375" s="7">
        <v>58.96696</v>
      </c>
      <c r="G375" s="7"/>
      <c r="H375" s="7"/>
      <c r="I375" s="1"/>
      <c r="J375" s="1"/>
      <c r="K375" s="1"/>
      <c r="L375" s="1"/>
      <c r="M375" s="1"/>
      <c r="N375" s="1"/>
      <c r="O375" s="1"/>
      <c r="P375" s="1"/>
      <c r="Q375" s="12">
        <v>52.163080000000001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>
        <f>AVERAGE(E375:P375)</f>
        <v>52.163080000000001</v>
      </c>
      <c r="AF375" s="1"/>
      <c r="AG375" s="1">
        <f>AVERAGE(AE375:AF375)</f>
        <v>52.163080000000001</v>
      </c>
      <c r="AH375" s="1">
        <v>12</v>
      </c>
      <c r="AI375" s="1">
        <v>14</v>
      </c>
      <c r="AJ375" s="1"/>
      <c r="AK375" s="1"/>
      <c r="AL375" s="1">
        <v>13</v>
      </c>
      <c r="AM375" s="1"/>
      <c r="AN375" s="1"/>
      <c r="AO375" s="1"/>
      <c r="AP375" s="1"/>
      <c r="AQ375" s="1">
        <f>AVERAGE(AH375:AK375)</f>
        <v>13</v>
      </c>
      <c r="AR375" s="1"/>
      <c r="AS375" s="12">
        <f>AVERAGE(AN375:AQ375)</f>
        <v>13</v>
      </c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2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2"/>
      <c r="CC375" s="13">
        <f t="shared" si="85"/>
        <v>0</v>
      </c>
      <c r="CD375" s="6"/>
      <c r="CE375" s="6"/>
      <c r="CF375" s="6"/>
      <c r="CG375" s="6"/>
      <c r="CH375" s="6"/>
      <c r="CI375" s="6"/>
      <c r="CJ375" s="13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</row>
    <row r="376" spans="1:160" x14ac:dyDescent="0.3">
      <c r="A376" s="6" t="s">
        <v>305</v>
      </c>
      <c r="B376" s="10" t="s">
        <v>305</v>
      </c>
      <c r="C376" s="10" t="s">
        <v>616</v>
      </c>
      <c r="D376" s="6" t="s">
        <v>616</v>
      </c>
      <c r="E376" s="7">
        <v>4.0823280000000004</v>
      </c>
      <c r="F376" s="7">
        <v>6.8038800000000004</v>
      </c>
      <c r="G376" s="7"/>
      <c r="H376" s="7"/>
      <c r="I376" s="1"/>
      <c r="J376" s="1"/>
      <c r="K376" s="1"/>
      <c r="L376" s="1"/>
      <c r="M376" s="1"/>
      <c r="N376" s="1"/>
      <c r="O376" s="1"/>
      <c r="P376" s="1"/>
      <c r="Q376" s="12">
        <v>5.4431039999999999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>
        <f>AVERAGE(E376:P376)</f>
        <v>5.4431039999999999</v>
      </c>
      <c r="AF376" s="1"/>
      <c r="AG376" s="1">
        <f>AVERAGE(AE376:AF376)</f>
        <v>5.4431039999999999</v>
      </c>
      <c r="AH376" s="1">
        <v>12</v>
      </c>
      <c r="AI376" s="1">
        <v>14</v>
      </c>
      <c r="AJ376" s="1"/>
      <c r="AK376" s="1"/>
      <c r="AL376" s="1">
        <v>13</v>
      </c>
      <c r="AM376" s="1"/>
      <c r="AN376" s="1"/>
      <c r="AO376" s="1"/>
      <c r="AP376" s="1"/>
      <c r="AQ376" s="1">
        <f>AVERAGE(AH376:AK376)</f>
        <v>13</v>
      </c>
      <c r="AR376" s="1"/>
      <c r="AS376" s="12">
        <f>AVERAGE(AN376:AQ376)</f>
        <v>13</v>
      </c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2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2"/>
      <c r="CC376" s="13">
        <f t="shared" si="85"/>
        <v>0</v>
      </c>
      <c r="CD376" s="6"/>
      <c r="CE376" s="6"/>
      <c r="CF376" s="6"/>
      <c r="CG376" s="6"/>
      <c r="CH376" s="6"/>
      <c r="CI376" s="6"/>
      <c r="CJ376" s="13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</row>
    <row r="377" spans="1:160" x14ac:dyDescent="0.3">
      <c r="A377" s="6" t="s">
        <v>305</v>
      </c>
      <c r="B377" s="10" t="s">
        <v>305</v>
      </c>
      <c r="C377" s="10" t="s">
        <v>617</v>
      </c>
      <c r="D377" s="6" t="s">
        <v>617</v>
      </c>
      <c r="E377" s="7"/>
      <c r="F377" s="7"/>
      <c r="G377" s="7"/>
      <c r="H377" s="7"/>
      <c r="I377" s="1"/>
      <c r="J377" s="1"/>
      <c r="K377" s="1"/>
      <c r="L377" s="1"/>
      <c r="M377" s="1"/>
      <c r="N377" s="1"/>
      <c r="O377" s="1"/>
      <c r="P377" s="1"/>
      <c r="Q377" s="12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2"/>
      <c r="AT377" s="1"/>
      <c r="AU377" s="1"/>
      <c r="AV377" s="1"/>
      <c r="AW377" s="1"/>
      <c r="AX377" s="1"/>
      <c r="AY377" s="1"/>
      <c r="AZ377" s="1">
        <v>5</v>
      </c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>
        <f>AVERAGE(AV377:BI377)</f>
        <v>5</v>
      </c>
      <c r="BN377" s="12">
        <f>AVERAGE(AT377:BK377)</f>
        <v>5</v>
      </c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2"/>
      <c r="CC377" s="13">
        <f t="shared" si="85"/>
        <v>0</v>
      </c>
      <c r="CD377" s="6"/>
      <c r="CE377" s="6"/>
      <c r="CF377" s="6"/>
      <c r="CG377" s="6"/>
      <c r="CH377" s="6"/>
      <c r="CI377" s="6"/>
      <c r="CJ377" s="13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</row>
    <row r="378" spans="1:160" x14ac:dyDescent="0.3">
      <c r="A378" s="6" t="s">
        <v>305</v>
      </c>
      <c r="B378" s="10" t="s">
        <v>305</v>
      </c>
      <c r="C378" s="10" t="s">
        <v>618</v>
      </c>
      <c r="D378" s="6" t="s">
        <v>618</v>
      </c>
      <c r="E378" s="7"/>
      <c r="F378" s="7">
        <v>2.9483480000000002</v>
      </c>
      <c r="G378" s="7"/>
      <c r="H378" s="7"/>
      <c r="I378" s="1"/>
      <c r="J378" s="1"/>
      <c r="K378" s="1"/>
      <c r="L378" s="1"/>
      <c r="M378" s="1"/>
      <c r="N378" s="1"/>
      <c r="O378" s="1"/>
      <c r="P378" s="1"/>
      <c r="Q378" s="12">
        <v>2.9483480000000002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>
        <f>AVERAGE(E378:P378)</f>
        <v>2.9483480000000002</v>
      </c>
      <c r="AF378" s="1"/>
      <c r="AG378" s="1">
        <f>AVERAGE(AE378:AF378)</f>
        <v>2.9483480000000002</v>
      </c>
      <c r="AH378" s="1">
        <v>12</v>
      </c>
      <c r="AI378" s="1">
        <v>14</v>
      </c>
      <c r="AJ378" s="1"/>
      <c r="AK378" s="1"/>
      <c r="AL378" s="1">
        <v>13</v>
      </c>
      <c r="AM378" s="1"/>
      <c r="AN378" s="1"/>
      <c r="AO378" s="1"/>
      <c r="AP378" s="1"/>
      <c r="AQ378" s="1">
        <f>AVERAGE(AH378:AK378)</f>
        <v>13</v>
      </c>
      <c r="AR378" s="1"/>
      <c r="AS378" s="12">
        <f>AVERAGE(AN378:AQ378)</f>
        <v>13</v>
      </c>
      <c r="AT378" s="1"/>
      <c r="AU378" s="1"/>
      <c r="AV378" s="1"/>
      <c r="AW378" s="1"/>
      <c r="AX378" s="1"/>
      <c r="AY378" s="1"/>
      <c r="AZ378" s="1">
        <v>2.7</v>
      </c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>
        <f>AVERAGE(AV378:BI378)</f>
        <v>2.7</v>
      </c>
      <c r="BN378" s="12">
        <f>AVERAGE(AT378:BK378)</f>
        <v>2.7</v>
      </c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2"/>
      <c r="CC378" s="13">
        <f t="shared" si="85"/>
        <v>0</v>
      </c>
      <c r="CD378" s="6"/>
      <c r="CE378" s="6"/>
      <c r="CF378" s="6"/>
      <c r="CG378" s="6"/>
      <c r="CH378" s="6"/>
      <c r="CI378" s="6"/>
      <c r="CJ378" s="13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</row>
    <row r="379" spans="1:160" x14ac:dyDescent="0.3">
      <c r="A379" s="6" t="s">
        <v>305</v>
      </c>
      <c r="B379" s="10" t="s">
        <v>305</v>
      </c>
      <c r="C379" s="10" t="s">
        <v>619</v>
      </c>
      <c r="D379" s="6" t="s">
        <v>619</v>
      </c>
      <c r="E379" s="7">
        <v>2.0411640000000002</v>
      </c>
      <c r="F379" s="7">
        <v>4.9895120000000004</v>
      </c>
      <c r="G379" s="7"/>
      <c r="H379" s="7"/>
      <c r="I379" s="1"/>
      <c r="J379" s="1"/>
      <c r="K379" s="1"/>
      <c r="L379" s="1"/>
      <c r="M379" s="1"/>
      <c r="N379" s="1"/>
      <c r="O379" s="1"/>
      <c r="P379" s="1"/>
      <c r="Q379" s="12">
        <v>3.5153379999999999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>
        <f>AVERAGE(E379:P379)</f>
        <v>3.5153380000000003</v>
      </c>
      <c r="AF379" s="1"/>
      <c r="AG379" s="1">
        <f>AVERAGE(AE379:AF379)</f>
        <v>3.5153380000000003</v>
      </c>
      <c r="AH379" s="1">
        <v>12</v>
      </c>
      <c r="AI379" s="1">
        <v>16</v>
      </c>
      <c r="AJ379" s="1"/>
      <c r="AK379" s="1"/>
      <c r="AL379" s="1">
        <v>14</v>
      </c>
      <c r="AM379" s="1"/>
      <c r="AN379" s="1"/>
      <c r="AO379" s="1"/>
      <c r="AP379" s="1"/>
      <c r="AQ379" s="1">
        <f>AVERAGE(AH379:AK379)</f>
        <v>14</v>
      </c>
      <c r="AR379" s="1"/>
      <c r="AS379" s="12">
        <f>AVERAGE(AN379:AQ379)</f>
        <v>14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2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2"/>
      <c r="CC379" s="13">
        <f t="shared" si="85"/>
        <v>0</v>
      </c>
      <c r="CD379" s="6"/>
      <c r="CE379" s="6"/>
      <c r="CF379" s="6"/>
      <c r="CG379" s="6"/>
      <c r="CH379" s="6"/>
      <c r="CI379" s="6"/>
      <c r="CJ379" s="13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</row>
    <row r="380" spans="1:160" x14ac:dyDescent="0.3">
      <c r="A380" s="6" t="s">
        <v>305</v>
      </c>
      <c r="B380" s="10" t="s">
        <v>305</v>
      </c>
      <c r="C380" s="10" t="s">
        <v>620</v>
      </c>
      <c r="D380" s="6" t="s">
        <v>620</v>
      </c>
      <c r="E380" s="7"/>
      <c r="F380" s="7"/>
      <c r="G380" s="7"/>
      <c r="H380" s="7"/>
      <c r="I380" s="1"/>
      <c r="J380" s="1"/>
      <c r="K380" s="1"/>
      <c r="L380" s="1"/>
      <c r="M380" s="1"/>
      <c r="N380" s="1"/>
      <c r="O380" s="1"/>
      <c r="P380" s="1"/>
      <c r="Q380" s="12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2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2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2"/>
      <c r="CC380" s="13">
        <f t="shared" si="85"/>
        <v>0</v>
      </c>
      <c r="CD380" s="6"/>
      <c r="CE380" s="6"/>
      <c r="CF380" s="6"/>
      <c r="CG380" s="6"/>
      <c r="CH380" s="6"/>
      <c r="CI380" s="6"/>
      <c r="CJ380" s="13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</row>
    <row r="381" spans="1:160" x14ac:dyDescent="0.3">
      <c r="A381" s="6" t="s">
        <v>305</v>
      </c>
      <c r="B381" s="10" t="s">
        <v>305</v>
      </c>
      <c r="C381" s="10" t="s">
        <v>621</v>
      </c>
      <c r="D381" s="6" t="s">
        <v>622</v>
      </c>
      <c r="E381" s="7"/>
      <c r="F381" s="7"/>
      <c r="G381" s="7"/>
      <c r="H381" s="7"/>
      <c r="I381" s="1"/>
      <c r="J381" s="1"/>
      <c r="K381" s="1"/>
      <c r="L381" s="1"/>
      <c r="M381" s="1"/>
      <c r="N381" s="1"/>
      <c r="O381" s="1"/>
      <c r="P381" s="1"/>
      <c r="Q381" s="12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2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2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2"/>
      <c r="CC381" s="13">
        <f t="shared" si="85"/>
        <v>0</v>
      </c>
      <c r="CD381" s="6"/>
      <c r="CE381" s="6"/>
      <c r="CF381" s="6"/>
      <c r="CG381" s="6"/>
      <c r="CH381" s="6"/>
      <c r="CI381" s="6"/>
      <c r="CJ381" s="13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</row>
    <row r="382" spans="1:160" x14ac:dyDescent="0.3">
      <c r="A382" s="6" t="s">
        <v>305</v>
      </c>
      <c r="B382" s="10" t="s">
        <v>305</v>
      </c>
      <c r="C382" s="10" t="s">
        <v>623</v>
      </c>
      <c r="D382" s="6" t="s">
        <v>624</v>
      </c>
      <c r="E382" s="7"/>
      <c r="F382" s="7"/>
      <c r="G382" s="7"/>
      <c r="H382" s="7"/>
      <c r="I382" s="1"/>
      <c r="J382" s="1"/>
      <c r="K382" s="1"/>
      <c r="L382" s="1"/>
      <c r="M382" s="1"/>
      <c r="N382" s="1"/>
      <c r="O382" s="1"/>
      <c r="P382" s="1"/>
      <c r="Q382" s="12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2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2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2"/>
      <c r="CC382" s="13">
        <f t="shared" si="85"/>
        <v>0</v>
      </c>
      <c r="CD382" s="6"/>
      <c r="CE382" s="6"/>
      <c r="CF382" s="6"/>
      <c r="CG382" s="6"/>
      <c r="CH382" s="6"/>
      <c r="CI382" s="6"/>
      <c r="CJ382" s="13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</row>
    <row r="383" spans="1:160" x14ac:dyDescent="0.3">
      <c r="A383" s="6" t="s">
        <v>305</v>
      </c>
      <c r="B383" s="10" t="s">
        <v>305</v>
      </c>
      <c r="C383" s="10" t="s">
        <v>625</v>
      </c>
      <c r="D383" s="6" t="s">
        <v>625</v>
      </c>
      <c r="E383" s="7">
        <v>11.793392000000001</v>
      </c>
      <c r="F383" s="7">
        <v>24.947559999999999</v>
      </c>
      <c r="G383" s="7"/>
      <c r="H383" s="7"/>
      <c r="I383" s="1"/>
      <c r="J383" s="1"/>
      <c r="K383" s="1"/>
      <c r="L383" s="1"/>
      <c r="M383" s="1"/>
      <c r="N383" s="1"/>
      <c r="O383" s="1"/>
      <c r="P383" s="1"/>
      <c r="Q383" s="12">
        <v>18.370476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>
        <f>AVERAGE(E383:P383)</f>
        <v>18.370476</v>
      </c>
      <c r="AF383" s="1"/>
      <c r="AG383" s="1">
        <f>AVERAGE(AE383:AF383)</f>
        <v>18.370476</v>
      </c>
      <c r="AH383" s="1">
        <v>12</v>
      </c>
      <c r="AI383" s="1">
        <v>15</v>
      </c>
      <c r="AJ383" s="1"/>
      <c r="AK383" s="1"/>
      <c r="AL383" s="1">
        <v>13.5</v>
      </c>
      <c r="AM383" s="1"/>
      <c r="AN383" s="1"/>
      <c r="AO383" s="1"/>
      <c r="AP383" s="1"/>
      <c r="AQ383" s="1">
        <f>AVERAGE(AH383:AK383)</f>
        <v>13.5</v>
      </c>
      <c r="AR383" s="1"/>
      <c r="AS383" s="12">
        <f>AVERAGE(AN383:AQ383)</f>
        <v>13.5</v>
      </c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>
        <v>8</v>
      </c>
      <c r="BF383" s="1"/>
      <c r="BG383" s="1"/>
      <c r="BH383" s="1"/>
      <c r="BI383" s="1">
        <f>BO383+BP383</f>
        <v>6.1</v>
      </c>
      <c r="BJ383" s="1"/>
      <c r="BK383" s="1"/>
      <c r="BL383" s="1"/>
      <c r="BM383" s="1">
        <f>AVERAGE(AV383:BI383)</f>
        <v>7.05</v>
      </c>
      <c r="BN383" s="12">
        <f>AVERAGE(AT383:BK383)</f>
        <v>7.05</v>
      </c>
      <c r="BO383" s="1">
        <v>2.99</v>
      </c>
      <c r="BP383" s="1">
        <v>3.11</v>
      </c>
      <c r="BQ383" s="1"/>
      <c r="BR383" s="1"/>
      <c r="BS383" s="1"/>
      <c r="BT383" s="1">
        <v>229</v>
      </c>
      <c r="BU383" s="1"/>
      <c r="BV383" s="1"/>
      <c r="BW383" s="1"/>
      <c r="BX383" s="1"/>
      <c r="BY383" s="1">
        <f>AVERAGE(BR383:BU383)</f>
        <v>229</v>
      </c>
      <c r="BZ383" s="1">
        <f>BY383/1000</f>
        <v>0.22900000000000001</v>
      </c>
      <c r="CA383" s="1">
        <f>AVERAGE(BQ383:BU383)</f>
        <v>229</v>
      </c>
      <c r="CB383" s="12">
        <f>CA383/1000</f>
        <v>0.22900000000000001</v>
      </c>
      <c r="CC383" s="13">
        <f t="shared" si="85"/>
        <v>1.6144499999999999</v>
      </c>
      <c r="CD383" s="6"/>
      <c r="CE383" s="6"/>
      <c r="CF383" s="6"/>
      <c r="CG383" s="6"/>
      <c r="CH383" s="6"/>
      <c r="CI383" s="6"/>
      <c r="CJ383" s="13">
        <f>((Q383-CB383)/CB383)*100</f>
        <v>7922.0419213973801</v>
      </c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</row>
    <row r="384" spans="1:160" x14ac:dyDescent="0.3">
      <c r="A384" s="6" t="s">
        <v>305</v>
      </c>
      <c r="B384" s="10" t="s">
        <v>305</v>
      </c>
      <c r="C384" s="10" t="s">
        <v>626</v>
      </c>
      <c r="D384" s="6" t="s">
        <v>626</v>
      </c>
      <c r="E384" s="7"/>
      <c r="F384" s="7"/>
      <c r="G384" s="7"/>
      <c r="H384" s="7"/>
      <c r="I384" s="1"/>
      <c r="J384" s="1"/>
      <c r="K384" s="1"/>
      <c r="L384" s="1"/>
      <c r="M384" s="1"/>
      <c r="N384" s="1"/>
      <c r="O384" s="1"/>
      <c r="P384" s="1"/>
      <c r="Q384" s="12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2"/>
      <c r="AT384" s="1"/>
      <c r="AU384" s="1"/>
      <c r="AV384" s="1"/>
      <c r="AW384" s="1"/>
      <c r="AX384" s="1"/>
      <c r="AY384" s="1"/>
      <c r="AZ384" s="1">
        <v>8.6999999999999993</v>
      </c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>
        <f>AVERAGE(AV384:BI384)</f>
        <v>8.6999999999999993</v>
      </c>
      <c r="BN384" s="12">
        <f>AVERAGE(AT384:BK384)</f>
        <v>8.6999999999999993</v>
      </c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2"/>
      <c r="CC384" s="13">
        <f t="shared" si="85"/>
        <v>0</v>
      </c>
      <c r="CD384" s="6"/>
      <c r="CE384" s="6"/>
      <c r="CF384" s="6"/>
      <c r="CG384" s="6"/>
      <c r="CH384" s="6"/>
      <c r="CI384" s="6"/>
      <c r="CJ384" s="13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</row>
    <row r="385" spans="1:160" x14ac:dyDescent="0.3">
      <c r="A385" s="6" t="s">
        <v>305</v>
      </c>
      <c r="B385" s="10" t="s">
        <v>305</v>
      </c>
      <c r="C385" s="10" t="s">
        <v>627</v>
      </c>
      <c r="D385" s="6" t="s">
        <v>627</v>
      </c>
      <c r="E385" s="7"/>
      <c r="F385" s="7"/>
      <c r="G385" s="7"/>
      <c r="H385" s="7"/>
      <c r="I385" s="1"/>
      <c r="J385" s="1"/>
      <c r="K385" s="1"/>
      <c r="L385" s="1"/>
      <c r="M385" s="1"/>
      <c r="N385" s="1"/>
      <c r="O385" s="1"/>
      <c r="P385" s="1"/>
      <c r="Q385" s="12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2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>
        <f>BO385+BP385</f>
        <v>5.1199999999999992</v>
      </c>
      <c r="BJ385" s="1"/>
      <c r="BK385" s="1"/>
      <c r="BL385" s="1"/>
      <c r="BM385" s="1">
        <f>AVERAGE(AV385:BI385)</f>
        <v>5.1199999999999992</v>
      </c>
      <c r="BN385" s="12">
        <f>AVERAGE(AT385:BK385)</f>
        <v>5.1199999999999992</v>
      </c>
      <c r="BO385" s="1">
        <v>2.59</v>
      </c>
      <c r="BP385" s="1">
        <v>2.5299999999999998</v>
      </c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2"/>
      <c r="CC385" s="13">
        <f t="shared" si="85"/>
        <v>0</v>
      </c>
      <c r="CD385" s="6"/>
      <c r="CE385" s="6"/>
      <c r="CF385" s="6"/>
      <c r="CG385" s="6"/>
      <c r="CH385" s="6"/>
      <c r="CI385" s="6"/>
      <c r="CJ385" s="13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</row>
    <row r="386" spans="1:160" x14ac:dyDescent="0.3">
      <c r="A386" s="6" t="s">
        <v>305</v>
      </c>
      <c r="B386" s="10" t="s">
        <v>305</v>
      </c>
      <c r="C386" s="10" t="s">
        <v>628</v>
      </c>
      <c r="D386" s="6" t="s">
        <v>628</v>
      </c>
      <c r="E386" s="7"/>
      <c r="F386" s="7"/>
      <c r="G386" s="7"/>
      <c r="H386" s="7"/>
      <c r="I386" s="1">
        <v>10.432615999999999</v>
      </c>
      <c r="J386" s="1">
        <v>10.886208</v>
      </c>
      <c r="K386" s="1">
        <v>10.5</v>
      </c>
      <c r="L386" s="1">
        <v>11</v>
      </c>
      <c r="M386" s="1"/>
      <c r="N386" s="1"/>
      <c r="O386" s="1"/>
      <c r="P386" s="1"/>
      <c r="Q386" s="12">
        <v>10.659412</v>
      </c>
      <c r="R386" s="1">
        <v>10.659412</v>
      </c>
      <c r="S386" s="1"/>
      <c r="T386" s="1">
        <v>10.75</v>
      </c>
      <c r="U386" s="1">
        <v>10.75</v>
      </c>
      <c r="V386" s="1"/>
      <c r="W386" s="1"/>
      <c r="X386" s="1"/>
      <c r="Y386" s="1"/>
      <c r="Z386" s="1"/>
      <c r="AA386" s="1"/>
      <c r="AB386" s="1"/>
      <c r="AC386" s="1"/>
      <c r="AD386" s="1"/>
      <c r="AE386" s="1">
        <f>AVERAGE(E386:P386)</f>
        <v>10.704706</v>
      </c>
      <c r="AF386" s="1"/>
      <c r="AG386" s="1">
        <f>AVERAGE(AE386:AF386)</f>
        <v>10.704706</v>
      </c>
      <c r="AH386" s="1">
        <v>12</v>
      </c>
      <c r="AI386" s="1">
        <v>14</v>
      </c>
      <c r="AJ386" s="1">
        <v>14</v>
      </c>
      <c r="AK386" s="1">
        <v>16</v>
      </c>
      <c r="AL386" s="1">
        <v>13</v>
      </c>
      <c r="AM386" s="1">
        <v>15</v>
      </c>
      <c r="AN386" s="1"/>
      <c r="AO386" s="1"/>
      <c r="AP386" s="1"/>
      <c r="AQ386" s="1">
        <f>AVERAGE(AH386:AK386)</f>
        <v>14</v>
      </c>
      <c r="AR386" s="1"/>
      <c r="AS386" s="12">
        <f>AVERAGE(AN386:AQ386)</f>
        <v>14</v>
      </c>
      <c r="AT386" s="1"/>
      <c r="AU386" s="1"/>
      <c r="AV386" s="1"/>
      <c r="AW386" s="1"/>
      <c r="AX386" s="1"/>
      <c r="AY386" s="1"/>
      <c r="AZ386" s="1">
        <v>4</v>
      </c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>
        <f>AVERAGE(AV386:BI386)</f>
        <v>4</v>
      </c>
      <c r="BN386" s="12">
        <f>AVERAGE(AT386:BK386)</f>
        <v>4</v>
      </c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2"/>
      <c r="CC386" s="13">
        <f t="shared" si="85"/>
        <v>0</v>
      </c>
      <c r="CD386" s="6"/>
      <c r="CE386" s="6"/>
      <c r="CF386" s="6"/>
      <c r="CG386" s="6"/>
      <c r="CH386" s="6"/>
      <c r="CI386" s="6"/>
      <c r="CJ386" s="13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</row>
    <row r="387" spans="1:160" x14ac:dyDescent="0.3">
      <c r="A387" s="6" t="s">
        <v>305</v>
      </c>
      <c r="B387" s="10" t="s">
        <v>305</v>
      </c>
      <c r="C387" s="10" t="s">
        <v>629</v>
      </c>
      <c r="D387" s="6" t="s">
        <v>629</v>
      </c>
      <c r="E387" s="7"/>
      <c r="F387" s="7"/>
      <c r="G387" s="7"/>
      <c r="H387" s="7"/>
      <c r="I387" s="1"/>
      <c r="J387" s="1"/>
      <c r="K387" s="1"/>
      <c r="L387" s="1"/>
      <c r="M387" s="1"/>
      <c r="N387" s="1"/>
      <c r="O387" s="1"/>
      <c r="P387" s="1"/>
      <c r="Q387" s="12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2"/>
      <c r="AT387" s="1"/>
      <c r="AU387" s="1"/>
      <c r="AV387" s="1"/>
      <c r="AW387" s="1"/>
      <c r="AX387" s="1"/>
      <c r="AY387" s="1">
        <v>6</v>
      </c>
      <c r="AZ387" s="1"/>
      <c r="BA387" s="1"/>
      <c r="BB387" s="1"/>
      <c r="BC387" s="1"/>
      <c r="BD387" s="1"/>
      <c r="BE387" s="1">
        <v>6</v>
      </c>
      <c r="BF387" s="1"/>
      <c r="BG387" s="1"/>
      <c r="BH387" s="1"/>
      <c r="BI387" s="1"/>
      <c r="BJ387" s="1"/>
      <c r="BK387" s="1"/>
      <c r="BL387" s="1"/>
      <c r="BM387" s="1">
        <f>AVERAGE(AV387:BI387)</f>
        <v>6</v>
      </c>
      <c r="BN387" s="12">
        <f>AVERAGE(AT387:BK387)</f>
        <v>6</v>
      </c>
      <c r="BO387" s="1"/>
      <c r="BP387" s="1"/>
      <c r="BQ387" s="1"/>
      <c r="BR387" s="1"/>
      <c r="BS387" s="1"/>
      <c r="BT387" s="1">
        <v>337</v>
      </c>
      <c r="BU387" s="1"/>
      <c r="BV387" s="1"/>
      <c r="BW387" s="1"/>
      <c r="BX387" s="1"/>
      <c r="BY387" s="1">
        <f>AVERAGE(BR387:BU387)</f>
        <v>337</v>
      </c>
      <c r="BZ387" s="1">
        <f>BY387/1000</f>
        <v>0.33700000000000002</v>
      </c>
      <c r="CA387" s="1">
        <f>AVERAGE(BQ387:BU387)</f>
        <v>337</v>
      </c>
      <c r="CB387" s="12">
        <f>CA387/1000</f>
        <v>0.33700000000000002</v>
      </c>
      <c r="CC387" s="13">
        <f t="shared" si="85"/>
        <v>2.0220000000000002</v>
      </c>
      <c r="CD387" s="6"/>
      <c r="CE387" s="6"/>
      <c r="CF387" s="6"/>
      <c r="CG387" s="6"/>
      <c r="CH387" s="6"/>
      <c r="CI387" s="6"/>
      <c r="CJ387" s="13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</row>
    <row r="388" spans="1:160" x14ac:dyDescent="0.3">
      <c r="A388" s="6" t="s">
        <v>305</v>
      </c>
      <c r="B388" s="10" t="s">
        <v>305</v>
      </c>
      <c r="C388" s="10" t="s">
        <v>630</v>
      </c>
      <c r="D388" s="6" t="s">
        <v>630</v>
      </c>
      <c r="E388" s="7"/>
      <c r="F388" s="7"/>
      <c r="G388" s="7"/>
      <c r="H388" s="7"/>
      <c r="I388" s="1"/>
      <c r="J388" s="1"/>
      <c r="K388" s="1"/>
      <c r="L388" s="1"/>
      <c r="M388" s="1"/>
      <c r="N388" s="1"/>
      <c r="O388" s="1"/>
      <c r="P388" s="1"/>
      <c r="Q388" s="12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2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2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2"/>
      <c r="CC388" s="13">
        <f t="shared" si="85"/>
        <v>0</v>
      </c>
      <c r="CD388" s="6"/>
      <c r="CE388" s="6"/>
      <c r="CF388" s="6"/>
      <c r="CG388" s="6"/>
      <c r="CH388" s="6"/>
      <c r="CI388" s="6"/>
      <c r="CJ388" s="13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</row>
    <row r="389" spans="1:160" x14ac:dyDescent="0.3">
      <c r="A389" s="6" t="s">
        <v>305</v>
      </c>
      <c r="B389" s="10" t="s">
        <v>305</v>
      </c>
      <c r="C389" s="10" t="s">
        <v>631</v>
      </c>
      <c r="D389" s="6" t="s">
        <v>631</v>
      </c>
      <c r="E389" s="7"/>
      <c r="F389" s="7"/>
      <c r="G389" s="7"/>
      <c r="H389" s="7"/>
      <c r="I389" s="1"/>
      <c r="J389" s="1"/>
      <c r="K389" s="1"/>
      <c r="L389" s="1"/>
      <c r="M389" s="1"/>
      <c r="N389" s="1"/>
      <c r="O389" s="1"/>
      <c r="P389" s="1"/>
      <c r="Q389" s="12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2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2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2"/>
      <c r="CC389" s="13">
        <f t="shared" si="85"/>
        <v>0</v>
      </c>
      <c r="CD389" s="6"/>
      <c r="CE389" s="6"/>
      <c r="CF389" s="6"/>
      <c r="CG389" s="6"/>
      <c r="CH389" s="6"/>
      <c r="CI389" s="6"/>
      <c r="CJ389" s="13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</row>
    <row r="390" spans="1:160" x14ac:dyDescent="0.3">
      <c r="A390" s="6" t="s">
        <v>305</v>
      </c>
      <c r="B390" s="10" t="s">
        <v>305</v>
      </c>
      <c r="C390" s="10" t="s">
        <v>632</v>
      </c>
      <c r="D390" s="6" t="s">
        <v>632</v>
      </c>
      <c r="E390" s="7"/>
      <c r="F390" s="7"/>
      <c r="G390" s="7"/>
      <c r="H390" s="7"/>
      <c r="I390" s="1"/>
      <c r="J390" s="1"/>
      <c r="K390" s="1"/>
      <c r="L390" s="1"/>
      <c r="M390" s="1"/>
      <c r="N390" s="1"/>
      <c r="O390" s="1"/>
      <c r="P390" s="1"/>
      <c r="Q390" s="12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2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2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2"/>
      <c r="CC390" s="13">
        <f t="shared" si="85"/>
        <v>0</v>
      </c>
      <c r="CD390" s="6"/>
      <c r="CE390" s="6"/>
      <c r="CF390" s="6"/>
      <c r="CG390" s="6"/>
      <c r="CH390" s="6"/>
      <c r="CI390" s="6"/>
      <c r="CJ390" s="13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</row>
    <row r="391" spans="1:160" x14ac:dyDescent="0.3">
      <c r="A391" s="6" t="s">
        <v>305</v>
      </c>
      <c r="B391" s="10" t="s">
        <v>305</v>
      </c>
      <c r="C391" s="10" t="s">
        <v>633</v>
      </c>
      <c r="D391" s="6" t="s">
        <v>633</v>
      </c>
      <c r="E391" s="7"/>
      <c r="F391" s="7"/>
      <c r="G391" s="7"/>
      <c r="H391" s="7"/>
      <c r="I391" s="1"/>
      <c r="J391" s="1"/>
      <c r="K391" s="1"/>
      <c r="L391" s="1"/>
      <c r="M391" s="1"/>
      <c r="N391" s="1"/>
      <c r="O391" s="1"/>
      <c r="P391" s="1"/>
      <c r="Q391" s="12"/>
      <c r="R391" s="1"/>
      <c r="S391" s="1"/>
      <c r="T391" s="1"/>
      <c r="U391" s="1"/>
      <c r="V391" s="1"/>
      <c r="W391" s="1"/>
      <c r="X391" s="1"/>
      <c r="Y391" s="1"/>
      <c r="Z391" s="1"/>
      <c r="AA391" s="1">
        <v>24</v>
      </c>
      <c r="AB391" s="1"/>
      <c r="AC391" s="1"/>
      <c r="AD391" s="1"/>
      <c r="AE391" s="1"/>
      <c r="AF391" s="1">
        <f>AVERAGE(X391:AD391)</f>
        <v>24</v>
      </c>
      <c r="AG391" s="1">
        <f>AVERAGE(AE391:AF391)</f>
        <v>24</v>
      </c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2"/>
      <c r="AT391" s="1"/>
      <c r="AU391" s="1"/>
      <c r="AV391" s="1"/>
      <c r="AW391" s="1"/>
      <c r="AX391" s="1"/>
      <c r="AY391" s="1"/>
      <c r="AZ391" s="1">
        <v>3.9</v>
      </c>
      <c r="BA391" s="1"/>
      <c r="BB391" s="1"/>
      <c r="BC391" s="1"/>
      <c r="BD391" s="1"/>
      <c r="BE391" s="1">
        <v>3</v>
      </c>
      <c r="BF391" s="1"/>
      <c r="BG391" s="1"/>
      <c r="BH391" s="1"/>
      <c r="BI391" s="1"/>
      <c r="BJ391" s="1"/>
      <c r="BK391" s="1"/>
      <c r="BL391" s="1"/>
      <c r="BM391" s="1">
        <f>AVERAGE(AV391:BI391)</f>
        <v>3.45</v>
      </c>
      <c r="BN391" s="12">
        <f>AVERAGE(AT391:BK391)</f>
        <v>3.45</v>
      </c>
      <c r="BO391" s="1"/>
      <c r="BP391" s="1"/>
      <c r="BQ391" s="1"/>
      <c r="BR391" s="1"/>
      <c r="BS391" s="1"/>
      <c r="BT391" s="1">
        <v>450</v>
      </c>
      <c r="BU391" s="1"/>
      <c r="BV391" s="1"/>
      <c r="BW391" s="1"/>
      <c r="BX391" s="1"/>
      <c r="BY391" s="1">
        <f>AVERAGE(BR391:BU391)</f>
        <v>450</v>
      </c>
      <c r="BZ391" s="1">
        <f>BY391/1000</f>
        <v>0.45</v>
      </c>
      <c r="CA391" s="1">
        <f>AVERAGE(BQ391:BU391)</f>
        <v>450</v>
      </c>
      <c r="CB391" s="12">
        <f>CA391/1000</f>
        <v>0.45</v>
      </c>
      <c r="CC391" s="13">
        <f t="shared" si="85"/>
        <v>1.5525000000000002</v>
      </c>
      <c r="CD391" s="6"/>
      <c r="CE391" s="6"/>
      <c r="CF391" s="6"/>
      <c r="CG391" s="6"/>
      <c r="CH391" s="6"/>
      <c r="CI391" s="6"/>
      <c r="CJ391" s="13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</row>
    <row r="392" spans="1:160" x14ac:dyDescent="0.3">
      <c r="A392" s="6" t="s">
        <v>305</v>
      </c>
      <c r="B392" s="10" t="s">
        <v>305</v>
      </c>
      <c r="C392" s="10" t="s">
        <v>634</v>
      </c>
      <c r="D392" s="6" t="s">
        <v>634</v>
      </c>
      <c r="E392" s="7">
        <v>15.875719999999999</v>
      </c>
      <c r="F392" s="7">
        <v>24.947559999999999</v>
      </c>
      <c r="G392" s="7"/>
      <c r="H392" s="7"/>
      <c r="I392" s="1"/>
      <c r="J392" s="1"/>
      <c r="K392" s="1"/>
      <c r="L392" s="1"/>
      <c r="M392" s="1"/>
      <c r="N392" s="1"/>
      <c r="O392" s="1"/>
      <c r="P392" s="1"/>
      <c r="Q392" s="12">
        <v>20.411639999999998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>
        <f>AVERAGE(E392:P392)</f>
        <v>20.411639999999998</v>
      </c>
      <c r="AF392" s="1"/>
      <c r="AG392" s="1">
        <f>AVERAGE(AE392:AF392)</f>
        <v>20.411639999999998</v>
      </c>
      <c r="AH392" s="1">
        <v>10</v>
      </c>
      <c r="AI392" s="1">
        <v>12</v>
      </c>
      <c r="AJ392" s="1"/>
      <c r="AK392" s="1"/>
      <c r="AL392" s="1">
        <v>11</v>
      </c>
      <c r="AM392" s="1"/>
      <c r="AN392" s="1"/>
      <c r="AO392" s="1"/>
      <c r="AP392" s="1"/>
      <c r="AQ392" s="1">
        <f>AVERAGE(AH392:AK392)</f>
        <v>11</v>
      </c>
      <c r="AR392" s="1"/>
      <c r="AS392" s="12">
        <f>AVERAGE(AN392:AQ392)</f>
        <v>11</v>
      </c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2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2"/>
      <c r="CC392" s="13">
        <f t="shared" si="85"/>
        <v>0</v>
      </c>
      <c r="CD392" s="6"/>
      <c r="CE392" s="6"/>
      <c r="CF392" s="6"/>
      <c r="CG392" s="6"/>
      <c r="CH392" s="6"/>
      <c r="CI392" s="6"/>
      <c r="CJ392" s="13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</row>
    <row r="393" spans="1:160" x14ac:dyDescent="0.3">
      <c r="A393" s="6" t="s">
        <v>305</v>
      </c>
      <c r="B393" s="10" t="s">
        <v>305</v>
      </c>
      <c r="C393" s="10" t="s">
        <v>635</v>
      </c>
      <c r="D393" s="6" t="s">
        <v>635</v>
      </c>
      <c r="E393" s="7"/>
      <c r="F393" s="7"/>
      <c r="G393" s="7"/>
      <c r="H393" s="7"/>
      <c r="I393" s="1"/>
      <c r="J393" s="1"/>
      <c r="K393" s="1"/>
      <c r="L393" s="1"/>
      <c r="M393" s="1"/>
      <c r="N393" s="1"/>
      <c r="O393" s="1"/>
      <c r="P393" s="1"/>
      <c r="Q393" s="12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2"/>
      <c r="AT393" s="1"/>
      <c r="AU393" s="1"/>
      <c r="AV393" s="1"/>
      <c r="AW393" s="1"/>
      <c r="AX393" s="1"/>
      <c r="AY393" s="1"/>
      <c r="AZ393" s="1">
        <v>4.9000000000000004</v>
      </c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>
        <f>AVERAGE(AV393:BI393)</f>
        <v>4.9000000000000004</v>
      </c>
      <c r="BN393" s="12">
        <f>AVERAGE(AT393:BK393)</f>
        <v>4.9000000000000004</v>
      </c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2"/>
      <c r="CC393" s="13">
        <f t="shared" si="85"/>
        <v>0</v>
      </c>
      <c r="CD393" s="6"/>
      <c r="CE393" s="6"/>
      <c r="CF393" s="6"/>
      <c r="CG393" s="6"/>
      <c r="CH393" s="6"/>
      <c r="CI393" s="6"/>
      <c r="CJ393" s="13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</row>
    <row r="394" spans="1:160" x14ac:dyDescent="0.3">
      <c r="A394" s="6" t="s">
        <v>305</v>
      </c>
      <c r="B394" s="10" t="s">
        <v>305</v>
      </c>
      <c r="C394" s="10" t="s">
        <v>636</v>
      </c>
      <c r="D394" s="6" t="s">
        <v>636</v>
      </c>
      <c r="E394" s="7"/>
      <c r="F394" s="7"/>
      <c r="G394" s="7"/>
      <c r="H394" s="7"/>
      <c r="I394" s="1"/>
      <c r="J394" s="1"/>
      <c r="K394" s="1"/>
      <c r="L394" s="1"/>
      <c r="M394" s="1"/>
      <c r="N394" s="1"/>
      <c r="O394" s="1"/>
      <c r="P394" s="1"/>
      <c r="Q394" s="12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2"/>
      <c r="AT394" s="1"/>
      <c r="AU394" s="1"/>
      <c r="AV394" s="1"/>
      <c r="AW394" s="1"/>
      <c r="AX394" s="1"/>
      <c r="AY394" s="1"/>
      <c r="AZ394" s="1">
        <v>5.6</v>
      </c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>
        <f>AVERAGE(AV394:BI394)</f>
        <v>5.6</v>
      </c>
      <c r="BN394" s="12">
        <f>AVERAGE(AT394:BK394)</f>
        <v>5.6</v>
      </c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2"/>
      <c r="CC394" s="13">
        <f t="shared" si="85"/>
        <v>0</v>
      </c>
      <c r="CD394" s="6"/>
      <c r="CE394" s="6"/>
      <c r="CF394" s="6"/>
      <c r="CG394" s="6"/>
      <c r="CH394" s="6"/>
      <c r="CI394" s="6"/>
      <c r="CJ394" s="13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</row>
    <row r="395" spans="1:160" x14ac:dyDescent="0.3">
      <c r="A395" s="6" t="s">
        <v>305</v>
      </c>
      <c r="B395" s="10" t="s">
        <v>305</v>
      </c>
      <c r="C395" s="10" t="s">
        <v>637</v>
      </c>
      <c r="D395" s="6" t="s">
        <v>637</v>
      </c>
      <c r="E395" s="7"/>
      <c r="F395" s="7"/>
      <c r="G395" s="7">
        <v>8.5</v>
      </c>
      <c r="H395" s="7">
        <v>10.5</v>
      </c>
      <c r="I395" s="1">
        <v>15.875719999999999</v>
      </c>
      <c r="J395" s="1">
        <v>20.411639999999998</v>
      </c>
      <c r="K395" s="1"/>
      <c r="L395" s="1"/>
      <c r="M395" s="1"/>
      <c r="N395" s="1"/>
      <c r="O395" s="1"/>
      <c r="P395" s="1"/>
      <c r="Q395" s="12">
        <v>18.14368</v>
      </c>
      <c r="R395" s="1">
        <v>18.14368</v>
      </c>
      <c r="S395" s="1"/>
      <c r="T395" s="1">
        <v>9.5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>
        <f>AVERAGE(E395:P395)</f>
        <v>13.82184</v>
      </c>
      <c r="AF395" s="1"/>
      <c r="AG395" s="1">
        <f>AVERAGE(AE395:AF395)</f>
        <v>13.82184</v>
      </c>
      <c r="AH395" s="1">
        <v>12</v>
      </c>
      <c r="AI395" s="1">
        <v>14</v>
      </c>
      <c r="AJ395" s="1">
        <v>13</v>
      </c>
      <c r="AK395" s="1">
        <v>15</v>
      </c>
      <c r="AL395" s="1">
        <v>13</v>
      </c>
      <c r="AM395" s="1">
        <v>14</v>
      </c>
      <c r="AN395" s="1"/>
      <c r="AO395" s="1"/>
      <c r="AP395" s="1"/>
      <c r="AQ395" s="1">
        <f>AVERAGE(AH395:AK395)</f>
        <v>13.5</v>
      </c>
      <c r="AR395" s="1"/>
      <c r="AS395" s="12">
        <f>AVERAGE(AN395:AQ395)</f>
        <v>13.5</v>
      </c>
      <c r="AT395" s="1"/>
      <c r="AU395" s="1"/>
      <c r="AV395" s="1"/>
      <c r="AW395" s="1"/>
      <c r="AX395" s="1"/>
      <c r="AY395" s="1"/>
      <c r="AZ395" s="1">
        <v>3.3</v>
      </c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>
        <f>AVERAGE(AV395:BI395)</f>
        <v>3.3</v>
      </c>
      <c r="BN395" s="12">
        <f>AVERAGE(AT395:BK395)</f>
        <v>3.3</v>
      </c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2"/>
      <c r="CC395" s="13">
        <f t="shared" si="85"/>
        <v>0</v>
      </c>
      <c r="CD395" s="6"/>
      <c r="CE395" s="6"/>
      <c r="CF395" s="6"/>
      <c r="CG395" s="6"/>
      <c r="CH395" s="6"/>
      <c r="CI395" s="6"/>
      <c r="CJ395" s="13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</row>
    <row r="396" spans="1:160" x14ac:dyDescent="0.3">
      <c r="A396" s="6" t="s">
        <v>305</v>
      </c>
      <c r="B396" s="10" t="s">
        <v>305</v>
      </c>
      <c r="C396" s="10" t="s">
        <v>638</v>
      </c>
      <c r="D396" s="6" t="s">
        <v>638</v>
      </c>
      <c r="E396" s="7">
        <v>30.844256000000001</v>
      </c>
      <c r="F396" s="7">
        <v>43.998424</v>
      </c>
      <c r="G396" s="7"/>
      <c r="H396" s="7"/>
      <c r="I396" s="1"/>
      <c r="J396" s="1"/>
      <c r="K396" s="1"/>
      <c r="L396" s="1"/>
      <c r="M396" s="1"/>
      <c r="N396" s="1"/>
      <c r="O396" s="1"/>
      <c r="P396" s="1"/>
      <c r="Q396" s="12">
        <v>37.421340000000001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>
        <f>AVERAGE(E396:P396)</f>
        <v>37.421340000000001</v>
      </c>
      <c r="AF396" s="1"/>
      <c r="AG396" s="1">
        <f>AVERAGE(AE396:AF396)</f>
        <v>37.421340000000001</v>
      </c>
      <c r="AH396" s="1">
        <v>11</v>
      </c>
      <c r="AI396" s="1">
        <v>13</v>
      </c>
      <c r="AJ396" s="1"/>
      <c r="AK396" s="1"/>
      <c r="AL396" s="1">
        <v>12</v>
      </c>
      <c r="AM396" s="1"/>
      <c r="AN396" s="1"/>
      <c r="AO396" s="1"/>
      <c r="AP396" s="1"/>
      <c r="AQ396" s="1">
        <f>AVERAGE(AH396:AK396)</f>
        <v>12</v>
      </c>
      <c r="AR396" s="1"/>
      <c r="AS396" s="12">
        <f>AVERAGE(AN396:AQ396)</f>
        <v>12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2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2"/>
      <c r="CC396" s="13">
        <f t="shared" si="85"/>
        <v>0</v>
      </c>
      <c r="CD396" s="6"/>
      <c r="CE396" s="6"/>
      <c r="CF396" s="6"/>
      <c r="CG396" s="6"/>
      <c r="CH396" s="6"/>
      <c r="CI396" s="6"/>
      <c r="CJ396" s="13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</row>
    <row r="397" spans="1:160" x14ac:dyDescent="0.3">
      <c r="A397" s="6" t="s">
        <v>305</v>
      </c>
      <c r="B397" s="10" t="s">
        <v>305</v>
      </c>
      <c r="C397" s="10" t="s">
        <v>639</v>
      </c>
      <c r="D397" s="6" t="s">
        <v>639</v>
      </c>
      <c r="E397" s="7">
        <v>14.968536</v>
      </c>
      <c r="F397" s="7">
        <v>19.958048000000002</v>
      </c>
      <c r="G397" s="7"/>
      <c r="H397" s="7"/>
      <c r="I397" s="1"/>
      <c r="J397" s="1"/>
      <c r="K397" s="1"/>
      <c r="L397" s="1"/>
      <c r="M397" s="1"/>
      <c r="N397" s="1"/>
      <c r="O397" s="1"/>
      <c r="P397" s="1"/>
      <c r="Q397" s="12">
        <v>17.463291999999999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>
        <f>AVERAGE(E397:P397)</f>
        <v>17.463292000000003</v>
      </c>
      <c r="AF397" s="1"/>
      <c r="AG397" s="1">
        <f>AVERAGE(AE397:AF397)</f>
        <v>17.463292000000003</v>
      </c>
      <c r="AH397" s="1">
        <v>12</v>
      </c>
      <c r="AI397" s="1">
        <v>13</v>
      </c>
      <c r="AJ397" s="1"/>
      <c r="AK397" s="1"/>
      <c r="AL397" s="1">
        <v>12.5</v>
      </c>
      <c r="AM397" s="1"/>
      <c r="AN397" s="1"/>
      <c r="AO397" s="1"/>
      <c r="AP397" s="1"/>
      <c r="AQ397" s="1">
        <f>AVERAGE(AH397:AK397)</f>
        <v>12.5</v>
      </c>
      <c r="AR397" s="1"/>
      <c r="AS397" s="12">
        <f>AVERAGE(AN397:AQ397)</f>
        <v>12.5</v>
      </c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2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2"/>
      <c r="CC397" s="13">
        <f t="shared" si="85"/>
        <v>0</v>
      </c>
      <c r="CD397" s="6"/>
      <c r="CE397" s="6"/>
      <c r="CF397" s="6"/>
      <c r="CG397" s="6"/>
      <c r="CH397" s="6"/>
      <c r="CI397" s="6"/>
      <c r="CJ397" s="13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</row>
    <row r="398" spans="1:160" x14ac:dyDescent="0.3">
      <c r="A398" s="6" t="s">
        <v>305</v>
      </c>
      <c r="B398" s="10" t="s">
        <v>305</v>
      </c>
      <c r="C398" s="10" t="s">
        <v>640</v>
      </c>
      <c r="D398" s="6" t="s">
        <v>640</v>
      </c>
      <c r="E398" s="7">
        <v>22.679600000000001</v>
      </c>
      <c r="F398" s="7">
        <v>29.48348</v>
      </c>
      <c r="G398" s="7"/>
      <c r="H398" s="7"/>
      <c r="I398" s="1"/>
      <c r="J398" s="1"/>
      <c r="K398" s="1"/>
      <c r="L398" s="1"/>
      <c r="M398" s="1"/>
      <c r="N398" s="1"/>
      <c r="O398" s="1"/>
      <c r="P398" s="1"/>
      <c r="Q398" s="12">
        <v>26.08154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f>AVERAGE(E398:P398)</f>
        <v>26.08154</v>
      </c>
      <c r="AF398" s="1"/>
      <c r="AG398" s="1">
        <f>AVERAGE(AE398:AF398)</f>
        <v>26.08154</v>
      </c>
      <c r="AH398" s="1">
        <v>12</v>
      </c>
      <c r="AI398" s="1">
        <v>15</v>
      </c>
      <c r="AJ398" s="1"/>
      <c r="AK398" s="1"/>
      <c r="AL398" s="1">
        <v>13.5</v>
      </c>
      <c r="AM398" s="1"/>
      <c r="AN398" s="1"/>
      <c r="AO398" s="1"/>
      <c r="AP398" s="1"/>
      <c r="AQ398" s="1">
        <f>AVERAGE(AH398:AK398)</f>
        <v>13.5</v>
      </c>
      <c r="AR398" s="1"/>
      <c r="AS398" s="12">
        <f>AVERAGE(AN398:AQ398)</f>
        <v>13.5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2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2"/>
      <c r="CC398" s="13">
        <f t="shared" si="85"/>
        <v>0</v>
      </c>
      <c r="CD398" s="6"/>
      <c r="CE398" s="6"/>
      <c r="CF398" s="6"/>
      <c r="CG398" s="6"/>
      <c r="CH398" s="6"/>
      <c r="CI398" s="6"/>
      <c r="CJ398" s="13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</row>
    <row r="399" spans="1:160" x14ac:dyDescent="0.3">
      <c r="A399" s="6" t="s">
        <v>305</v>
      </c>
      <c r="B399" s="10" t="s">
        <v>305</v>
      </c>
      <c r="C399" s="10" t="s">
        <v>641</v>
      </c>
      <c r="D399" s="6" t="s">
        <v>642</v>
      </c>
      <c r="E399" s="7"/>
      <c r="F399" s="7"/>
      <c r="G399" s="7"/>
      <c r="H399" s="7"/>
      <c r="I399" s="1"/>
      <c r="J399" s="1"/>
      <c r="K399" s="1"/>
      <c r="L399" s="1"/>
      <c r="M399" s="1"/>
      <c r="N399" s="1"/>
      <c r="O399" s="1"/>
      <c r="P399" s="1"/>
      <c r="Q399" s="12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2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2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2"/>
      <c r="CC399" s="13">
        <f t="shared" si="85"/>
        <v>0</v>
      </c>
      <c r="CD399" s="6"/>
      <c r="CE399" s="6"/>
      <c r="CF399" s="6"/>
      <c r="CG399" s="6"/>
      <c r="CH399" s="6"/>
      <c r="CI399" s="6"/>
      <c r="CJ399" s="13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</row>
    <row r="400" spans="1:160" x14ac:dyDescent="0.3">
      <c r="A400" s="6" t="s">
        <v>305</v>
      </c>
      <c r="B400" s="10" t="s">
        <v>305</v>
      </c>
      <c r="C400" s="10" t="s">
        <v>643</v>
      </c>
      <c r="D400" s="6" t="s">
        <v>643</v>
      </c>
      <c r="E400" s="7"/>
      <c r="F400" s="7"/>
      <c r="G400" s="7"/>
      <c r="H400" s="7"/>
      <c r="I400" s="1"/>
      <c r="J400" s="1"/>
      <c r="K400" s="1"/>
      <c r="L400" s="1"/>
      <c r="M400" s="1"/>
      <c r="N400" s="1"/>
      <c r="O400" s="1"/>
      <c r="P400" s="1"/>
      <c r="Q400" s="12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2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2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2"/>
      <c r="CC400" s="13">
        <f t="shared" si="85"/>
        <v>0</v>
      </c>
      <c r="CD400" s="6"/>
      <c r="CE400" s="6"/>
      <c r="CF400" s="6"/>
      <c r="CG400" s="6"/>
      <c r="CH400" s="6"/>
      <c r="CI400" s="6"/>
      <c r="CJ400" s="13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</row>
    <row r="401" spans="1:160" x14ac:dyDescent="0.3">
      <c r="A401" s="6" t="s">
        <v>305</v>
      </c>
      <c r="B401" s="10" t="s">
        <v>305</v>
      </c>
      <c r="C401" s="10" t="s">
        <v>644</v>
      </c>
      <c r="D401" s="6" t="s">
        <v>644</v>
      </c>
      <c r="E401" s="7"/>
      <c r="F401" s="7"/>
      <c r="G401" s="7"/>
      <c r="H401" s="7"/>
      <c r="I401" s="1"/>
      <c r="J401" s="1"/>
      <c r="K401" s="1"/>
      <c r="L401" s="1"/>
      <c r="M401" s="1"/>
      <c r="N401" s="1"/>
      <c r="O401" s="1"/>
      <c r="P401" s="1"/>
      <c r="Q401" s="12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2"/>
      <c r="AT401" s="1"/>
      <c r="AU401" s="1"/>
      <c r="AV401" s="1"/>
      <c r="AW401" s="1"/>
      <c r="AX401" s="1"/>
      <c r="AY401" s="1"/>
      <c r="AZ401" s="1">
        <v>10</v>
      </c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>
        <f>AVERAGE(AV401:BI401)</f>
        <v>10</v>
      </c>
      <c r="BN401" s="12">
        <f>AVERAGE(AT401:BK401)</f>
        <v>10</v>
      </c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2"/>
      <c r="CC401" s="13">
        <f t="shared" si="85"/>
        <v>0</v>
      </c>
      <c r="CD401" s="6"/>
      <c r="CE401" s="6"/>
      <c r="CF401" s="6"/>
      <c r="CG401" s="6"/>
      <c r="CH401" s="6"/>
      <c r="CI401" s="6"/>
      <c r="CJ401" s="13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</row>
    <row r="402" spans="1:160" x14ac:dyDescent="0.3">
      <c r="A402" s="6" t="s">
        <v>305</v>
      </c>
      <c r="B402" s="10" t="s">
        <v>305</v>
      </c>
      <c r="C402" s="10" t="s">
        <v>645</v>
      </c>
      <c r="D402" s="6" t="s">
        <v>645</v>
      </c>
      <c r="E402" s="7"/>
      <c r="F402" s="7"/>
      <c r="G402" s="7"/>
      <c r="H402" s="7"/>
      <c r="I402" s="1"/>
      <c r="J402" s="1"/>
      <c r="K402" s="1"/>
      <c r="L402" s="1"/>
      <c r="M402" s="1"/>
      <c r="N402" s="1"/>
      <c r="O402" s="1"/>
      <c r="P402" s="1"/>
      <c r="Q402" s="12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2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2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2"/>
      <c r="CC402" s="13">
        <f t="shared" si="85"/>
        <v>0</v>
      </c>
      <c r="CD402" s="6"/>
      <c r="CE402" s="6"/>
      <c r="CF402" s="6"/>
      <c r="CG402" s="6"/>
      <c r="CH402" s="6"/>
      <c r="CI402" s="6"/>
      <c r="CJ402" s="13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</row>
    <row r="403" spans="1:160" x14ac:dyDescent="0.3">
      <c r="A403" s="6" t="s">
        <v>305</v>
      </c>
      <c r="B403" s="10" t="s">
        <v>305</v>
      </c>
      <c r="C403" s="10" t="s">
        <v>646</v>
      </c>
      <c r="D403" s="6" t="s">
        <v>646</v>
      </c>
      <c r="E403" s="7">
        <v>63.502879999999998</v>
      </c>
      <c r="F403" s="7">
        <v>90.718400000000003</v>
      </c>
      <c r="G403" s="7"/>
      <c r="H403" s="7"/>
      <c r="I403" s="1"/>
      <c r="J403" s="1"/>
      <c r="K403" s="1"/>
      <c r="L403" s="1"/>
      <c r="M403" s="1"/>
      <c r="N403" s="1"/>
      <c r="O403" s="1"/>
      <c r="P403" s="1"/>
      <c r="Q403" s="12">
        <v>77.110640000000004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>
        <f t="shared" ref="AE403:AE408" si="86">AVERAGE(E403:P403)</f>
        <v>77.110640000000004</v>
      </c>
      <c r="AF403" s="1"/>
      <c r="AG403" s="1">
        <f t="shared" ref="AG403:AG408" si="87">AVERAGE(AE403:AF403)</f>
        <v>77.110640000000004</v>
      </c>
      <c r="AH403" s="1">
        <v>10</v>
      </c>
      <c r="AI403" s="1">
        <v>12</v>
      </c>
      <c r="AJ403" s="1"/>
      <c r="AK403" s="1"/>
      <c r="AL403" s="1">
        <v>11</v>
      </c>
      <c r="AM403" s="1"/>
      <c r="AN403" s="1"/>
      <c r="AO403" s="1"/>
      <c r="AP403" s="1"/>
      <c r="AQ403" s="1">
        <f t="shared" ref="AQ403:AQ408" si="88">AVERAGE(AH403:AK403)</f>
        <v>11</v>
      </c>
      <c r="AR403" s="1"/>
      <c r="AS403" s="12">
        <f t="shared" ref="AS403:AS408" si="89">AVERAGE(AN403:AQ403)</f>
        <v>11</v>
      </c>
      <c r="AT403" s="1"/>
      <c r="AU403" s="1"/>
      <c r="AV403" s="1"/>
      <c r="AW403" s="1"/>
      <c r="AX403" s="1"/>
      <c r="AY403" s="1"/>
      <c r="AZ403" s="1">
        <v>13</v>
      </c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>
        <f>AVERAGE(AV403:BI403)</f>
        <v>13</v>
      </c>
      <c r="BN403" s="12">
        <f>AVERAGE(AT403:BK403)</f>
        <v>13</v>
      </c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2"/>
      <c r="CC403" s="13">
        <f t="shared" si="85"/>
        <v>0</v>
      </c>
      <c r="CD403" s="6"/>
      <c r="CE403" s="6"/>
      <c r="CF403" s="6"/>
      <c r="CG403" s="6"/>
      <c r="CH403" s="6"/>
      <c r="CI403" s="6"/>
      <c r="CJ403" s="13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</row>
    <row r="404" spans="1:160" x14ac:dyDescent="0.3">
      <c r="A404" s="6" t="s">
        <v>305</v>
      </c>
      <c r="B404" s="10" t="s">
        <v>305</v>
      </c>
      <c r="C404" s="10" t="s">
        <v>647</v>
      </c>
      <c r="D404" s="6" t="s">
        <v>647</v>
      </c>
      <c r="E404" s="7"/>
      <c r="F404" s="7"/>
      <c r="G404" s="7"/>
      <c r="H404" s="7"/>
      <c r="I404" s="1">
        <v>18.14368</v>
      </c>
      <c r="J404" s="1">
        <v>22.226008</v>
      </c>
      <c r="K404" s="1"/>
      <c r="L404" s="1"/>
      <c r="M404" s="1">
        <v>14.061351999999999</v>
      </c>
      <c r="N404" s="1">
        <v>18.14368</v>
      </c>
      <c r="O404" s="1"/>
      <c r="P404" s="1"/>
      <c r="Q404" s="12">
        <v>18.14368</v>
      </c>
      <c r="R404" s="1">
        <v>20.184843999999998</v>
      </c>
      <c r="S404" s="1">
        <v>16.102516000000001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>
        <f t="shared" si="86"/>
        <v>18.14368</v>
      </c>
      <c r="AF404" s="1"/>
      <c r="AG404" s="1">
        <f t="shared" si="87"/>
        <v>18.14368</v>
      </c>
      <c r="AH404" s="1">
        <v>12</v>
      </c>
      <c r="AI404" s="1">
        <v>14</v>
      </c>
      <c r="AJ404" s="1"/>
      <c r="AK404" s="1"/>
      <c r="AL404" s="1">
        <v>13</v>
      </c>
      <c r="AM404" s="1"/>
      <c r="AN404" s="1"/>
      <c r="AO404" s="1"/>
      <c r="AP404" s="1"/>
      <c r="AQ404" s="1">
        <f t="shared" si="88"/>
        <v>13</v>
      </c>
      <c r="AR404" s="1"/>
      <c r="AS404" s="12">
        <f t="shared" si="89"/>
        <v>13</v>
      </c>
      <c r="AT404" s="1"/>
      <c r="AU404" s="1"/>
      <c r="AV404" s="1"/>
      <c r="AW404" s="1"/>
      <c r="AX404" s="1"/>
      <c r="AY404" s="1"/>
      <c r="AZ404" s="1">
        <v>6.3</v>
      </c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>
        <f>AVERAGE(AV404:BI404)</f>
        <v>6.3</v>
      </c>
      <c r="BN404" s="12">
        <f>AVERAGE(AT404:BK404)</f>
        <v>6.3</v>
      </c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2"/>
      <c r="CC404" s="13">
        <f t="shared" si="85"/>
        <v>0</v>
      </c>
      <c r="CD404" s="6"/>
      <c r="CE404" s="6"/>
      <c r="CF404" s="6"/>
      <c r="CG404" s="6"/>
      <c r="CH404" s="6"/>
      <c r="CI404" s="6"/>
      <c r="CJ404" s="13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</row>
    <row r="405" spans="1:160" x14ac:dyDescent="0.3">
      <c r="A405" s="6" t="s">
        <v>305</v>
      </c>
      <c r="B405" s="10" t="s">
        <v>305</v>
      </c>
      <c r="C405" s="10" t="s">
        <v>648</v>
      </c>
      <c r="D405" s="6" t="s">
        <v>648</v>
      </c>
      <c r="E405" s="7">
        <v>18.14368</v>
      </c>
      <c r="F405" s="7">
        <v>27.215520000000001</v>
      </c>
      <c r="G405" s="7"/>
      <c r="H405" s="7"/>
      <c r="I405" s="1"/>
      <c r="J405" s="1"/>
      <c r="K405" s="1"/>
      <c r="L405" s="1"/>
      <c r="M405" s="1"/>
      <c r="N405" s="1"/>
      <c r="O405" s="1"/>
      <c r="P405" s="1"/>
      <c r="Q405" s="12">
        <v>22.679600000000001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>
        <f t="shared" si="86"/>
        <v>22.679600000000001</v>
      </c>
      <c r="AF405" s="1"/>
      <c r="AG405" s="1">
        <f t="shared" si="87"/>
        <v>22.679600000000001</v>
      </c>
      <c r="AH405" s="1">
        <v>13</v>
      </c>
      <c r="AI405" s="1">
        <v>15</v>
      </c>
      <c r="AJ405" s="1"/>
      <c r="AK405" s="1"/>
      <c r="AL405" s="1">
        <v>14</v>
      </c>
      <c r="AM405" s="1"/>
      <c r="AN405" s="1"/>
      <c r="AO405" s="1"/>
      <c r="AP405" s="1"/>
      <c r="AQ405" s="1">
        <f t="shared" si="88"/>
        <v>14</v>
      </c>
      <c r="AR405" s="1"/>
      <c r="AS405" s="12">
        <f t="shared" si="89"/>
        <v>14</v>
      </c>
      <c r="AT405" s="1"/>
      <c r="AU405" s="1"/>
      <c r="AV405" s="1"/>
      <c r="AW405" s="1"/>
      <c r="AX405" s="1"/>
      <c r="AY405" s="1"/>
      <c r="AZ405" s="1">
        <v>8</v>
      </c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>
        <f>AVERAGE(AV405:BI405)</f>
        <v>8</v>
      </c>
      <c r="BN405" s="12">
        <f>AVERAGE(AT405:BK405)</f>
        <v>8</v>
      </c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2"/>
      <c r="CC405" s="13">
        <f t="shared" si="85"/>
        <v>0</v>
      </c>
      <c r="CD405" s="6"/>
      <c r="CE405" s="6"/>
      <c r="CF405" s="6"/>
      <c r="CG405" s="6"/>
      <c r="CH405" s="6"/>
      <c r="CI405" s="6"/>
      <c r="CJ405" s="13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</row>
    <row r="406" spans="1:160" x14ac:dyDescent="0.3">
      <c r="A406" s="6" t="s">
        <v>305</v>
      </c>
      <c r="B406" s="10" t="s">
        <v>305</v>
      </c>
      <c r="C406" s="10" t="s">
        <v>649</v>
      </c>
      <c r="D406" s="6" t="s">
        <v>649</v>
      </c>
      <c r="E406" s="7">
        <v>15.875719999999999</v>
      </c>
      <c r="F406" s="7">
        <v>20.411639999999998</v>
      </c>
      <c r="G406" s="7">
        <v>16</v>
      </c>
      <c r="H406" s="7">
        <v>20.5</v>
      </c>
      <c r="I406" s="1"/>
      <c r="J406" s="1"/>
      <c r="K406" s="1"/>
      <c r="L406" s="1"/>
      <c r="M406" s="1"/>
      <c r="N406" s="1"/>
      <c r="O406" s="1"/>
      <c r="P406" s="1"/>
      <c r="Q406" s="12">
        <v>18.14368</v>
      </c>
      <c r="R406" s="1"/>
      <c r="S406" s="1"/>
      <c r="T406" s="1">
        <v>18.25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>
        <f t="shared" si="86"/>
        <v>18.196840000000002</v>
      </c>
      <c r="AF406" s="1"/>
      <c r="AG406" s="1">
        <f t="shared" si="87"/>
        <v>18.196840000000002</v>
      </c>
      <c r="AH406" s="1">
        <v>13</v>
      </c>
      <c r="AI406" s="1">
        <v>15</v>
      </c>
      <c r="AJ406" s="1">
        <v>12</v>
      </c>
      <c r="AK406" s="1">
        <v>13</v>
      </c>
      <c r="AL406" s="1">
        <v>14</v>
      </c>
      <c r="AM406" s="1">
        <v>12.5</v>
      </c>
      <c r="AN406" s="1"/>
      <c r="AO406" s="1"/>
      <c r="AP406" s="1"/>
      <c r="AQ406" s="1">
        <f t="shared" si="88"/>
        <v>13.25</v>
      </c>
      <c r="AR406" s="1"/>
      <c r="AS406" s="12">
        <f t="shared" si="89"/>
        <v>13.25</v>
      </c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2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2"/>
      <c r="CC406" s="13">
        <f t="shared" si="85"/>
        <v>0</v>
      </c>
      <c r="CD406" s="6"/>
      <c r="CE406" s="6"/>
      <c r="CF406" s="6"/>
      <c r="CG406" s="6"/>
      <c r="CH406" s="6"/>
      <c r="CI406" s="6"/>
      <c r="CJ406" s="13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</row>
    <row r="407" spans="1:160" x14ac:dyDescent="0.3">
      <c r="A407" s="6" t="s">
        <v>305</v>
      </c>
      <c r="B407" s="10" t="s">
        <v>305</v>
      </c>
      <c r="C407" s="10" t="s">
        <v>650</v>
      </c>
      <c r="D407" s="6" t="s">
        <v>651</v>
      </c>
      <c r="E407" s="7">
        <v>15.875719999999999</v>
      </c>
      <c r="F407" s="7">
        <v>18.14368</v>
      </c>
      <c r="G407" s="7"/>
      <c r="H407" s="7"/>
      <c r="I407" s="1"/>
      <c r="J407" s="1"/>
      <c r="K407" s="1"/>
      <c r="L407" s="1"/>
      <c r="M407" s="1"/>
      <c r="N407" s="1"/>
      <c r="O407" s="1"/>
      <c r="P407" s="1"/>
      <c r="Q407" s="12">
        <v>17.009699999999999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f t="shared" si="86"/>
        <v>17.009699999999999</v>
      </c>
      <c r="AF407" s="1"/>
      <c r="AG407" s="1">
        <f t="shared" si="87"/>
        <v>17.009699999999999</v>
      </c>
      <c r="AH407" s="1">
        <v>15</v>
      </c>
      <c r="AI407" s="1">
        <v>15</v>
      </c>
      <c r="AJ407" s="1"/>
      <c r="AK407" s="1"/>
      <c r="AL407" s="1">
        <v>15</v>
      </c>
      <c r="AM407" s="1"/>
      <c r="AN407" s="1"/>
      <c r="AO407" s="1"/>
      <c r="AP407" s="1"/>
      <c r="AQ407" s="1">
        <f t="shared" si="88"/>
        <v>15</v>
      </c>
      <c r="AR407" s="1"/>
      <c r="AS407" s="12">
        <f t="shared" si="89"/>
        <v>15</v>
      </c>
      <c r="AT407" s="1"/>
      <c r="AU407" s="1"/>
      <c r="AV407" s="1"/>
      <c r="AW407" s="1"/>
      <c r="AX407" s="1"/>
      <c r="AY407" s="1"/>
      <c r="AZ407" s="1">
        <v>6.1</v>
      </c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>
        <f>AVERAGE(AV407:BI407)</f>
        <v>6.1</v>
      </c>
      <c r="BN407" s="12">
        <f>AVERAGE(AT407:BK407)</f>
        <v>6.1</v>
      </c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2"/>
      <c r="CC407" s="13">
        <f t="shared" si="85"/>
        <v>0</v>
      </c>
      <c r="CD407" s="6"/>
      <c r="CE407" s="6"/>
      <c r="CF407" s="6"/>
      <c r="CG407" s="6"/>
      <c r="CH407" s="6"/>
      <c r="CI407" s="6"/>
      <c r="CJ407" s="13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</row>
    <row r="408" spans="1:160" x14ac:dyDescent="0.3">
      <c r="A408" s="6" t="s">
        <v>305</v>
      </c>
      <c r="B408" s="10" t="s">
        <v>305</v>
      </c>
      <c r="C408" s="10" t="s">
        <v>652</v>
      </c>
      <c r="D408" s="6" t="s">
        <v>652</v>
      </c>
      <c r="E408" s="7">
        <v>13.607760000000001</v>
      </c>
      <c r="F408" s="7">
        <v>20.411639999999998</v>
      </c>
      <c r="G408" s="7"/>
      <c r="H408" s="7"/>
      <c r="I408" s="1"/>
      <c r="J408" s="1"/>
      <c r="K408" s="1"/>
      <c r="L408" s="1"/>
      <c r="M408" s="1"/>
      <c r="N408" s="1"/>
      <c r="O408" s="1"/>
      <c r="P408" s="1"/>
      <c r="Q408" s="12">
        <v>17.009699999999999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>
        <f t="shared" si="86"/>
        <v>17.009699999999999</v>
      </c>
      <c r="AF408" s="1"/>
      <c r="AG408" s="1">
        <f t="shared" si="87"/>
        <v>17.009699999999999</v>
      </c>
      <c r="AH408" s="1">
        <v>12</v>
      </c>
      <c r="AI408" s="1">
        <v>14</v>
      </c>
      <c r="AJ408" s="1"/>
      <c r="AK408" s="1"/>
      <c r="AL408" s="1">
        <v>13</v>
      </c>
      <c r="AM408" s="1"/>
      <c r="AN408" s="1"/>
      <c r="AO408" s="1"/>
      <c r="AP408" s="1"/>
      <c r="AQ408" s="1">
        <f t="shared" si="88"/>
        <v>13</v>
      </c>
      <c r="AR408" s="1"/>
      <c r="AS408" s="12">
        <f t="shared" si="89"/>
        <v>13</v>
      </c>
      <c r="AT408" s="1"/>
      <c r="AU408" s="1"/>
      <c r="AV408" s="1"/>
      <c r="AW408" s="1"/>
      <c r="AX408" s="1"/>
      <c r="AY408" s="1"/>
      <c r="AZ408" s="1">
        <v>4.4000000000000004</v>
      </c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>
        <f>AVERAGE(AV408:BI408)</f>
        <v>4.4000000000000004</v>
      </c>
      <c r="BN408" s="12">
        <f>AVERAGE(AT408:BK408)</f>
        <v>4.4000000000000004</v>
      </c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2"/>
      <c r="CC408" s="13">
        <f t="shared" si="85"/>
        <v>0</v>
      </c>
      <c r="CD408" s="6"/>
      <c r="CE408" s="6"/>
      <c r="CF408" s="6"/>
      <c r="CG408" s="6"/>
      <c r="CH408" s="6"/>
      <c r="CI408" s="6"/>
      <c r="CJ408" s="13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</row>
    <row r="409" spans="1:160" x14ac:dyDescent="0.3">
      <c r="A409" s="6" t="s">
        <v>305</v>
      </c>
      <c r="B409" s="10" t="s">
        <v>305</v>
      </c>
      <c r="C409" s="10" t="s">
        <v>653</v>
      </c>
      <c r="D409" s="6" t="s">
        <v>653</v>
      </c>
      <c r="E409" s="7"/>
      <c r="F409" s="7"/>
      <c r="G409" s="7"/>
      <c r="H409" s="7"/>
      <c r="I409" s="1"/>
      <c r="J409" s="1"/>
      <c r="K409" s="1"/>
      <c r="L409" s="1"/>
      <c r="M409" s="1"/>
      <c r="N409" s="1"/>
      <c r="O409" s="1"/>
      <c r="P409" s="1"/>
      <c r="Q409" s="12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2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2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2"/>
      <c r="CC409" s="13">
        <f t="shared" si="85"/>
        <v>0</v>
      </c>
      <c r="CD409" s="6"/>
      <c r="CE409" s="6"/>
      <c r="CF409" s="6"/>
      <c r="CG409" s="6"/>
      <c r="CH409" s="6"/>
      <c r="CI409" s="6"/>
      <c r="CJ409" s="13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</row>
    <row r="410" spans="1:160" x14ac:dyDescent="0.3">
      <c r="A410" s="6" t="s">
        <v>305</v>
      </c>
      <c r="B410" s="10" t="s">
        <v>305</v>
      </c>
      <c r="C410" s="10" t="s">
        <v>654</v>
      </c>
      <c r="D410" s="6" t="s">
        <v>654</v>
      </c>
      <c r="E410" s="7"/>
      <c r="F410" s="7"/>
      <c r="G410" s="7"/>
      <c r="H410" s="7"/>
      <c r="I410" s="1"/>
      <c r="J410" s="1"/>
      <c r="K410" s="1"/>
      <c r="L410" s="1"/>
      <c r="M410" s="1"/>
      <c r="N410" s="1"/>
      <c r="O410" s="1"/>
      <c r="P410" s="1"/>
      <c r="Q410" s="12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2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2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2"/>
      <c r="CC410" s="13">
        <f t="shared" si="85"/>
        <v>0</v>
      </c>
      <c r="CD410" s="6"/>
      <c r="CE410" s="6"/>
      <c r="CF410" s="6"/>
      <c r="CG410" s="6"/>
      <c r="CH410" s="6"/>
      <c r="CI410" s="6"/>
      <c r="CJ410" s="13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</row>
    <row r="411" spans="1:160" x14ac:dyDescent="0.3">
      <c r="A411" s="6" t="s">
        <v>305</v>
      </c>
      <c r="B411" s="10" t="s">
        <v>305</v>
      </c>
      <c r="C411" s="10" t="s">
        <v>655</v>
      </c>
      <c r="D411" s="6" t="s">
        <v>655</v>
      </c>
      <c r="E411" s="7"/>
      <c r="F411" s="7"/>
      <c r="G411" s="7"/>
      <c r="H411" s="7"/>
      <c r="I411" s="1"/>
      <c r="J411" s="1"/>
      <c r="K411" s="1"/>
      <c r="L411" s="1"/>
      <c r="M411" s="1"/>
      <c r="N411" s="1"/>
      <c r="O411" s="1"/>
      <c r="P411" s="1"/>
      <c r="Q411" s="12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2"/>
      <c r="AT411" s="1"/>
      <c r="AU411" s="1"/>
      <c r="AV411" s="1"/>
      <c r="AW411" s="1"/>
      <c r="AX411" s="1"/>
      <c r="AY411" s="1"/>
      <c r="AZ411" s="1">
        <v>4.3</v>
      </c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>
        <f>AVERAGE(AV411:BI411)</f>
        <v>4.3</v>
      </c>
      <c r="BN411" s="12">
        <f>AVERAGE(AT411:BK411)</f>
        <v>4.3</v>
      </c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2"/>
      <c r="CC411" s="13">
        <f t="shared" si="85"/>
        <v>0</v>
      </c>
      <c r="CD411" s="6"/>
      <c r="CE411" s="6"/>
      <c r="CF411" s="6"/>
      <c r="CG411" s="6"/>
      <c r="CH411" s="6"/>
      <c r="CI411" s="6"/>
      <c r="CJ411" s="13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</row>
    <row r="412" spans="1:160" x14ac:dyDescent="0.3">
      <c r="A412" s="6" t="s">
        <v>305</v>
      </c>
      <c r="B412" s="10" t="s">
        <v>305</v>
      </c>
      <c r="C412" s="10" t="s">
        <v>656</v>
      </c>
      <c r="D412" s="6" t="s">
        <v>656</v>
      </c>
      <c r="E412" s="7"/>
      <c r="F412" s="7"/>
      <c r="G412" s="7"/>
      <c r="H412" s="7"/>
      <c r="I412" s="1"/>
      <c r="J412" s="1"/>
      <c r="K412" s="1"/>
      <c r="L412" s="1"/>
      <c r="M412" s="1"/>
      <c r="N412" s="1"/>
      <c r="O412" s="1"/>
      <c r="P412" s="1"/>
      <c r="Q412" s="12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2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2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2"/>
      <c r="CC412" s="13">
        <f t="shared" si="85"/>
        <v>0</v>
      </c>
      <c r="CD412" s="6"/>
      <c r="CE412" s="6"/>
      <c r="CF412" s="6"/>
      <c r="CG412" s="6"/>
      <c r="CH412" s="6"/>
      <c r="CI412" s="6"/>
      <c r="CJ412" s="13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</row>
    <row r="413" spans="1:160" x14ac:dyDescent="0.3">
      <c r="A413" s="6" t="s">
        <v>305</v>
      </c>
      <c r="B413" s="10" t="s">
        <v>305</v>
      </c>
      <c r="C413" s="10" t="s">
        <v>657</v>
      </c>
      <c r="D413" s="6" t="s">
        <v>657</v>
      </c>
      <c r="E413" s="7"/>
      <c r="F413" s="7"/>
      <c r="G413" s="7"/>
      <c r="H413" s="7"/>
      <c r="I413" s="1"/>
      <c r="J413" s="1"/>
      <c r="K413" s="1"/>
      <c r="L413" s="1"/>
      <c r="M413" s="1"/>
      <c r="N413" s="1"/>
      <c r="O413" s="1"/>
      <c r="P413" s="1"/>
      <c r="Q413" s="12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2"/>
      <c r="AT413" s="1"/>
      <c r="AU413" s="1"/>
      <c r="AV413" s="1"/>
      <c r="AW413" s="1"/>
      <c r="AX413" s="1"/>
      <c r="AY413" s="1"/>
      <c r="AZ413" s="1">
        <v>5.9</v>
      </c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>
        <f>AVERAGE(AV413:BI413)</f>
        <v>5.9</v>
      </c>
      <c r="BN413" s="12">
        <f>AVERAGE(AT413:BK413)</f>
        <v>5.9</v>
      </c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2"/>
      <c r="CC413" s="13">
        <f t="shared" si="85"/>
        <v>0</v>
      </c>
      <c r="CD413" s="6"/>
      <c r="CE413" s="6"/>
      <c r="CF413" s="6"/>
      <c r="CG413" s="6"/>
      <c r="CH413" s="6"/>
      <c r="CI413" s="6"/>
      <c r="CJ413" s="13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</row>
    <row r="414" spans="1:160" x14ac:dyDescent="0.3">
      <c r="A414" s="6" t="s">
        <v>305</v>
      </c>
      <c r="B414" s="10" t="s">
        <v>305</v>
      </c>
      <c r="C414" s="10" t="s">
        <v>658</v>
      </c>
      <c r="D414" s="6" t="s">
        <v>658</v>
      </c>
      <c r="E414" s="7">
        <v>11.793392000000001</v>
      </c>
      <c r="F414" s="7">
        <v>18.14368</v>
      </c>
      <c r="G414" s="7"/>
      <c r="H414" s="7"/>
      <c r="I414" s="1"/>
      <c r="J414" s="1"/>
      <c r="K414" s="1"/>
      <c r="L414" s="1"/>
      <c r="M414" s="1"/>
      <c r="N414" s="1"/>
      <c r="O414" s="1"/>
      <c r="P414" s="1"/>
      <c r="Q414" s="12">
        <v>14.968536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>
        <f>AVERAGE(E414:P414)</f>
        <v>14.968536</v>
      </c>
      <c r="AF414" s="1"/>
      <c r="AG414" s="1">
        <f>AVERAGE(AE414:AF414)</f>
        <v>14.968536</v>
      </c>
      <c r="AH414" s="1">
        <v>9</v>
      </c>
      <c r="AI414" s="1">
        <v>13</v>
      </c>
      <c r="AJ414" s="1"/>
      <c r="AK414" s="1"/>
      <c r="AL414" s="1">
        <v>11</v>
      </c>
      <c r="AM414" s="1"/>
      <c r="AN414" s="1"/>
      <c r="AO414" s="1"/>
      <c r="AP414" s="1"/>
      <c r="AQ414" s="1">
        <f>AVERAGE(AH414:AK414)</f>
        <v>11</v>
      </c>
      <c r="AR414" s="1"/>
      <c r="AS414" s="12">
        <f>AVERAGE(AN414:AQ414)</f>
        <v>11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2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2"/>
      <c r="CC414" s="13">
        <f t="shared" si="85"/>
        <v>0</v>
      </c>
      <c r="CD414" s="6"/>
      <c r="CE414" s="6"/>
      <c r="CF414" s="6"/>
      <c r="CG414" s="6"/>
      <c r="CH414" s="6"/>
      <c r="CI414" s="6"/>
      <c r="CJ414" s="13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</row>
    <row r="415" spans="1:160" x14ac:dyDescent="0.3">
      <c r="A415" s="6" t="s">
        <v>305</v>
      </c>
      <c r="B415" s="10" t="s">
        <v>305</v>
      </c>
      <c r="C415" s="10" t="s">
        <v>659</v>
      </c>
      <c r="D415" s="6" t="s">
        <v>659</v>
      </c>
      <c r="E415" s="7"/>
      <c r="F415" s="7"/>
      <c r="G415" s="7"/>
      <c r="H415" s="7"/>
      <c r="I415" s="1"/>
      <c r="J415" s="1"/>
      <c r="K415" s="1"/>
      <c r="L415" s="1"/>
      <c r="M415" s="1"/>
      <c r="N415" s="1"/>
      <c r="O415" s="1"/>
      <c r="P415" s="1"/>
      <c r="Q415" s="12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2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2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2"/>
      <c r="CC415" s="13">
        <f t="shared" si="85"/>
        <v>0</v>
      </c>
      <c r="CD415" s="6"/>
      <c r="CE415" s="6"/>
      <c r="CF415" s="6"/>
      <c r="CG415" s="6"/>
      <c r="CH415" s="6"/>
      <c r="CI415" s="6"/>
      <c r="CJ415" s="13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</row>
    <row r="416" spans="1:160" x14ac:dyDescent="0.3">
      <c r="A416" s="6" t="s">
        <v>305</v>
      </c>
      <c r="B416" s="10" t="s">
        <v>305</v>
      </c>
      <c r="C416" s="10" t="s">
        <v>660</v>
      </c>
      <c r="D416" s="6" t="s">
        <v>660</v>
      </c>
      <c r="E416" s="7">
        <v>3.628736</v>
      </c>
      <c r="F416" s="7">
        <v>11.3398</v>
      </c>
      <c r="G416" s="7"/>
      <c r="H416" s="7"/>
      <c r="I416" s="1"/>
      <c r="J416" s="1"/>
      <c r="K416" s="1"/>
      <c r="L416" s="1"/>
      <c r="M416" s="1"/>
      <c r="N416" s="1"/>
      <c r="O416" s="1"/>
      <c r="P416" s="1"/>
      <c r="Q416" s="12">
        <v>7.4842680000000001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>
        <f>AVERAGE(E416:P416)</f>
        <v>7.4842680000000001</v>
      </c>
      <c r="AF416" s="1"/>
      <c r="AG416" s="1">
        <f>AVERAGE(AE416:AF416)</f>
        <v>7.4842680000000001</v>
      </c>
      <c r="AH416" s="1">
        <v>14</v>
      </c>
      <c r="AI416" s="1">
        <v>16</v>
      </c>
      <c r="AJ416" s="1"/>
      <c r="AK416" s="1"/>
      <c r="AL416" s="1">
        <v>15</v>
      </c>
      <c r="AM416" s="1"/>
      <c r="AN416" s="1"/>
      <c r="AO416" s="1"/>
      <c r="AP416" s="1"/>
      <c r="AQ416" s="1">
        <f>AVERAGE(AH416:AK416)</f>
        <v>15</v>
      </c>
      <c r="AR416" s="1"/>
      <c r="AS416" s="12">
        <f>AVERAGE(AN416:AQ416)</f>
        <v>15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2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2"/>
      <c r="CC416" s="13">
        <f t="shared" si="85"/>
        <v>0</v>
      </c>
      <c r="CD416" s="6"/>
      <c r="CE416" s="6"/>
      <c r="CF416" s="6"/>
      <c r="CG416" s="6"/>
      <c r="CH416" s="6"/>
      <c r="CI416" s="6"/>
      <c r="CJ416" s="13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</row>
    <row r="417" spans="1:160" x14ac:dyDescent="0.3">
      <c r="A417" s="6" t="s">
        <v>305</v>
      </c>
      <c r="B417" s="10" t="s">
        <v>305</v>
      </c>
      <c r="C417" s="10" t="s">
        <v>661</v>
      </c>
      <c r="D417" s="6" t="s">
        <v>661</v>
      </c>
      <c r="E417" s="7"/>
      <c r="F417" s="7"/>
      <c r="G417" s="7"/>
      <c r="H417" s="7"/>
      <c r="I417" s="1"/>
      <c r="J417" s="1"/>
      <c r="K417" s="1"/>
      <c r="L417" s="1"/>
      <c r="M417" s="1"/>
      <c r="N417" s="1"/>
      <c r="O417" s="1"/>
      <c r="P417" s="1"/>
      <c r="Q417" s="12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2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2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2"/>
      <c r="CC417" s="13">
        <f t="shared" si="85"/>
        <v>0</v>
      </c>
      <c r="CD417" s="6"/>
      <c r="CE417" s="6"/>
      <c r="CF417" s="6"/>
      <c r="CG417" s="6"/>
      <c r="CH417" s="6"/>
      <c r="CI417" s="6"/>
      <c r="CJ417" s="13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</row>
    <row r="418" spans="1:160" x14ac:dyDescent="0.3">
      <c r="A418" s="6" t="s">
        <v>305</v>
      </c>
      <c r="B418" s="10" t="s">
        <v>305</v>
      </c>
      <c r="C418" s="10" t="s">
        <v>662</v>
      </c>
      <c r="D418" s="6" t="s">
        <v>662</v>
      </c>
      <c r="E418" s="7">
        <v>15.875719999999999</v>
      </c>
      <c r="F418" s="7">
        <v>34.019399999999997</v>
      </c>
      <c r="G418" s="7"/>
      <c r="H418" s="7"/>
      <c r="I418" s="1"/>
      <c r="J418" s="1"/>
      <c r="K418" s="1"/>
      <c r="L418" s="1"/>
      <c r="M418" s="1"/>
      <c r="N418" s="1"/>
      <c r="O418" s="1"/>
      <c r="P418" s="1"/>
      <c r="Q418" s="12">
        <v>24.947559999999999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>
        <f>AVERAGE(E418:P418)</f>
        <v>24.947559999999999</v>
      </c>
      <c r="AF418" s="1"/>
      <c r="AG418" s="1">
        <f>AVERAGE(AE418:AF418)</f>
        <v>24.947559999999999</v>
      </c>
      <c r="AH418" s="1">
        <v>12</v>
      </c>
      <c r="AI418" s="1">
        <v>13</v>
      </c>
      <c r="AJ418" s="1"/>
      <c r="AK418" s="1"/>
      <c r="AL418" s="1">
        <v>12.5</v>
      </c>
      <c r="AM418" s="1"/>
      <c r="AN418" s="1"/>
      <c r="AO418" s="1"/>
      <c r="AP418" s="1"/>
      <c r="AQ418" s="1">
        <f>AVERAGE(AH418:AK418)</f>
        <v>12.5</v>
      </c>
      <c r="AR418" s="1"/>
      <c r="AS418" s="12">
        <f>AVERAGE(AN418:AQ418)</f>
        <v>12.5</v>
      </c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2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2"/>
      <c r="CC418" s="13">
        <f t="shared" ref="CC418:CC431" si="90">CB418*BN418</f>
        <v>0</v>
      </c>
      <c r="CD418" s="6"/>
      <c r="CE418" s="6"/>
      <c r="CF418" s="6"/>
      <c r="CG418" s="6"/>
      <c r="CH418" s="6"/>
      <c r="CI418" s="6"/>
      <c r="CJ418" s="13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</row>
    <row r="419" spans="1:160" x14ac:dyDescent="0.3">
      <c r="A419" s="6" t="s">
        <v>305</v>
      </c>
      <c r="B419" s="10" t="s">
        <v>305</v>
      </c>
      <c r="C419" s="10" t="s">
        <v>663</v>
      </c>
      <c r="D419" s="6" t="s">
        <v>663</v>
      </c>
      <c r="E419" s="7"/>
      <c r="F419" s="7"/>
      <c r="G419" s="7"/>
      <c r="H419" s="7"/>
      <c r="I419" s="1"/>
      <c r="J419" s="1"/>
      <c r="K419" s="1"/>
      <c r="L419" s="1"/>
      <c r="M419" s="1"/>
      <c r="N419" s="1"/>
      <c r="O419" s="1"/>
      <c r="P419" s="1"/>
      <c r="Q419" s="12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2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2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2"/>
      <c r="CC419" s="13">
        <f t="shared" si="90"/>
        <v>0</v>
      </c>
      <c r="CD419" s="6"/>
      <c r="CE419" s="6"/>
      <c r="CF419" s="6"/>
      <c r="CG419" s="6"/>
      <c r="CH419" s="6"/>
      <c r="CI419" s="6"/>
      <c r="CJ419" s="13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</row>
    <row r="420" spans="1:160" x14ac:dyDescent="0.3">
      <c r="A420" s="6" t="s">
        <v>305</v>
      </c>
      <c r="B420" s="10" t="s">
        <v>305</v>
      </c>
      <c r="C420" s="10" t="s">
        <v>664</v>
      </c>
      <c r="D420" s="6" t="s">
        <v>664</v>
      </c>
      <c r="E420" s="7">
        <v>28.122703999999999</v>
      </c>
      <c r="F420" s="7">
        <v>49.895119999999999</v>
      </c>
      <c r="G420" s="7"/>
      <c r="H420" s="7"/>
      <c r="I420" s="1"/>
      <c r="J420" s="1"/>
      <c r="K420" s="1"/>
      <c r="L420" s="1"/>
      <c r="M420" s="1"/>
      <c r="N420" s="1"/>
      <c r="O420" s="1"/>
      <c r="P420" s="1"/>
      <c r="Q420" s="12">
        <v>39.008912000000002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>
        <f>AVERAGE(E420:P420)</f>
        <v>39.008911999999995</v>
      </c>
      <c r="AF420" s="1"/>
      <c r="AG420" s="1">
        <f>AVERAGE(AE420:AF420)</f>
        <v>39.008911999999995</v>
      </c>
      <c r="AH420" s="1">
        <v>12</v>
      </c>
      <c r="AI420" s="1">
        <v>14</v>
      </c>
      <c r="AJ420" s="1"/>
      <c r="AK420" s="1"/>
      <c r="AL420" s="1">
        <v>13</v>
      </c>
      <c r="AM420" s="1"/>
      <c r="AN420" s="1"/>
      <c r="AO420" s="1"/>
      <c r="AP420" s="1"/>
      <c r="AQ420" s="1">
        <f>AVERAGE(AH420:AK420)</f>
        <v>13</v>
      </c>
      <c r="AR420" s="1"/>
      <c r="AS420" s="12">
        <f>AVERAGE(AN420:AQ420)</f>
        <v>13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2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2"/>
      <c r="CC420" s="13">
        <f t="shared" si="90"/>
        <v>0</v>
      </c>
      <c r="CD420" s="6"/>
      <c r="CE420" s="6"/>
      <c r="CF420" s="6"/>
      <c r="CG420" s="6"/>
      <c r="CH420" s="6"/>
      <c r="CI420" s="6"/>
      <c r="CJ420" s="13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</row>
    <row r="421" spans="1:160" x14ac:dyDescent="0.3">
      <c r="A421" s="6" t="s">
        <v>305</v>
      </c>
      <c r="B421" s="10" t="s">
        <v>305</v>
      </c>
      <c r="C421" s="10" t="s">
        <v>665</v>
      </c>
      <c r="D421" s="6" t="s">
        <v>665</v>
      </c>
      <c r="E421" s="7">
        <v>13.607760000000001</v>
      </c>
      <c r="F421" s="7">
        <v>22.679600000000001</v>
      </c>
      <c r="G421" s="7"/>
      <c r="H421" s="7"/>
      <c r="I421" s="1"/>
      <c r="J421" s="1"/>
      <c r="K421" s="1"/>
      <c r="L421" s="1"/>
      <c r="M421" s="1"/>
      <c r="N421" s="1"/>
      <c r="O421" s="1"/>
      <c r="P421" s="1"/>
      <c r="Q421" s="12">
        <v>18.14368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>
        <f>AVERAGE(E421:P421)</f>
        <v>18.14368</v>
      </c>
      <c r="AF421" s="1"/>
      <c r="AG421" s="1">
        <f>AVERAGE(AE421:AF421)</f>
        <v>18.14368</v>
      </c>
      <c r="AH421" s="1">
        <v>10</v>
      </c>
      <c r="AI421" s="1">
        <v>12</v>
      </c>
      <c r="AJ421" s="1"/>
      <c r="AK421" s="1"/>
      <c r="AL421" s="1">
        <v>11</v>
      </c>
      <c r="AM421" s="1"/>
      <c r="AN421" s="1"/>
      <c r="AO421" s="1"/>
      <c r="AP421" s="1"/>
      <c r="AQ421" s="1">
        <f>AVERAGE(AH421:AK421)</f>
        <v>11</v>
      </c>
      <c r="AR421" s="1"/>
      <c r="AS421" s="12">
        <f>AVERAGE(AN421:AQ421)</f>
        <v>11</v>
      </c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2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2"/>
      <c r="CC421" s="13">
        <f t="shared" si="90"/>
        <v>0</v>
      </c>
      <c r="CD421" s="6"/>
      <c r="CE421" s="6"/>
      <c r="CF421" s="6"/>
      <c r="CG421" s="6"/>
      <c r="CH421" s="6"/>
      <c r="CI421" s="6"/>
      <c r="CJ421" s="13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</row>
    <row r="422" spans="1:160" x14ac:dyDescent="0.3">
      <c r="A422" s="6" t="s">
        <v>305</v>
      </c>
      <c r="B422" s="10" t="s">
        <v>305</v>
      </c>
      <c r="C422" s="10" t="s">
        <v>666</v>
      </c>
      <c r="D422" s="6" t="s">
        <v>666</v>
      </c>
      <c r="E422" s="7">
        <v>22.679600000000001</v>
      </c>
      <c r="F422" s="7">
        <v>31.751439999999999</v>
      </c>
      <c r="G422" s="7"/>
      <c r="H422" s="7"/>
      <c r="I422" s="1"/>
      <c r="J422" s="1"/>
      <c r="K422" s="1"/>
      <c r="L422" s="1"/>
      <c r="M422" s="1"/>
      <c r="N422" s="1"/>
      <c r="O422" s="1"/>
      <c r="P422" s="1"/>
      <c r="Q422" s="12">
        <v>27.215520000000001</v>
      </c>
      <c r="R422" s="1"/>
      <c r="S422" s="1"/>
      <c r="T422" s="1"/>
      <c r="U422" s="1"/>
      <c r="V422" s="1"/>
      <c r="W422" s="1"/>
      <c r="X422" s="1"/>
      <c r="Y422" s="1"/>
      <c r="Z422" s="1"/>
      <c r="AA422" s="1">
        <v>27</v>
      </c>
      <c r="AB422" s="1"/>
      <c r="AC422" s="1"/>
      <c r="AD422" s="1"/>
      <c r="AE422" s="1">
        <f>AVERAGE(E422:P422)</f>
        <v>27.215519999999998</v>
      </c>
      <c r="AF422" s="1">
        <f>AVERAGE(X422:AD422)</f>
        <v>27</v>
      </c>
      <c r="AG422" s="1">
        <f>AVERAGE(AE422:AF422)</f>
        <v>27.107759999999999</v>
      </c>
      <c r="AH422" s="1">
        <v>12</v>
      </c>
      <c r="AI422" s="1">
        <v>13</v>
      </c>
      <c r="AJ422" s="1"/>
      <c r="AK422" s="1"/>
      <c r="AL422" s="1">
        <v>12.5</v>
      </c>
      <c r="AM422" s="1"/>
      <c r="AN422" s="1"/>
      <c r="AO422" s="1"/>
      <c r="AP422" s="1"/>
      <c r="AQ422" s="1">
        <f>AVERAGE(AH422:AK422)</f>
        <v>12.5</v>
      </c>
      <c r="AR422" s="1"/>
      <c r="AS422" s="12">
        <f>AVERAGE(AN422:AQ422)</f>
        <v>12.5</v>
      </c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2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2"/>
      <c r="CC422" s="13">
        <f t="shared" si="90"/>
        <v>0</v>
      </c>
      <c r="CD422" s="6"/>
      <c r="CE422" s="6"/>
      <c r="CF422" s="6"/>
      <c r="CG422" s="6"/>
      <c r="CH422" s="6"/>
      <c r="CI422" s="6"/>
      <c r="CJ422" s="13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</row>
    <row r="423" spans="1:160" x14ac:dyDescent="0.3">
      <c r="A423" s="6" t="s">
        <v>305</v>
      </c>
      <c r="B423" s="10" t="s">
        <v>305</v>
      </c>
      <c r="C423" s="10" t="s">
        <v>667</v>
      </c>
      <c r="D423" s="6" t="s">
        <v>667</v>
      </c>
      <c r="E423" s="7"/>
      <c r="F423" s="7"/>
      <c r="G423" s="7"/>
      <c r="H423" s="7"/>
      <c r="I423" s="1"/>
      <c r="J423" s="1"/>
      <c r="K423" s="1"/>
      <c r="L423" s="1"/>
      <c r="M423" s="1"/>
      <c r="N423" s="1"/>
      <c r="O423" s="1"/>
      <c r="P423" s="1"/>
      <c r="Q423" s="12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2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2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2"/>
      <c r="CC423" s="13">
        <f t="shared" si="90"/>
        <v>0</v>
      </c>
      <c r="CD423" s="6"/>
      <c r="CE423" s="6"/>
      <c r="CF423" s="6"/>
      <c r="CG423" s="6"/>
      <c r="CH423" s="6"/>
      <c r="CI423" s="6"/>
      <c r="CJ423" s="13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</row>
    <row r="424" spans="1:160" x14ac:dyDescent="0.3">
      <c r="A424" s="6" t="s">
        <v>305</v>
      </c>
      <c r="B424" s="10" t="s">
        <v>305</v>
      </c>
      <c r="C424" s="10" t="s">
        <v>668</v>
      </c>
      <c r="D424" s="6" t="s">
        <v>669</v>
      </c>
      <c r="E424" s="7"/>
      <c r="F424" s="7"/>
      <c r="G424" s="7"/>
      <c r="H424" s="7"/>
      <c r="I424" s="1"/>
      <c r="J424" s="1"/>
      <c r="K424" s="1"/>
      <c r="L424" s="1"/>
      <c r="M424" s="1"/>
      <c r="N424" s="1"/>
      <c r="O424" s="1"/>
      <c r="P424" s="1"/>
      <c r="Q424" s="12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2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2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2"/>
      <c r="CC424" s="13">
        <f t="shared" si="90"/>
        <v>0</v>
      </c>
      <c r="CD424" s="6"/>
      <c r="CE424" s="6"/>
      <c r="CF424" s="6"/>
      <c r="CG424" s="6"/>
      <c r="CH424" s="6"/>
      <c r="CI424" s="6"/>
      <c r="CJ424" s="13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</row>
    <row r="425" spans="1:160" x14ac:dyDescent="0.3">
      <c r="A425" s="6" t="s">
        <v>305</v>
      </c>
      <c r="B425" s="10" t="s">
        <v>305</v>
      </c>
      <c r="C425" s="10" t="s">
        <v>670</v>
      </c>
      <c r="D425" s="6" t="s">
        <v>670</v>
      </c>
      <c r="E425" s="7"/>
      <c r="F425" s="7"/>
      <c r="G425" s="7">
        <v>16</v>
      </c>
      <c r="H425" s="7">
        <v>20</v>
      </c>
      <c r="I425" s="1">
        <v>18.14368</v>
      </c>
      <c r="J425" s="1">
        <v>24.947559999999999</v>
      </c>
      <c r="K425" s="1"/>
      <c r="L425" s="1"/>
      <c r="M425" s="1">
        <v>15.875719999999999</v>
      </c>
      <c r="N425" s="1">
        <v>22.679600000000001</v>
      </c>
      <c r="O425" s="1"/>
      <c r="P425" s="1"/>
      <c r="Q425" s="12">
        <v>20.411639999999998</v>
      </c>
      <c r="R425" s="1">
        <v>21.54562</v>
      </c>
      <c r="S425" s="1">
        <v>19.277660000000001</v>
      </c>
      <c r="T425" s="1">
        <v>18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>
        <f>AVERAGE(E425:P425)</f>
        <v>19.607759999999999</v>
      </c>
      <c r="AF425" s="1"/>
      <c r="AG425" s="1">
        <f>AVERAGE(AE425:AF425)</f>
        <v>19.607759999999999</v>
      </c>
      <c r="AH425" s="1">
        <v>12</v>
      </c>
      <c r="AI425" s="1">
        <v>15</v>
      </c>
      <c r="AJ425" s="1">
        <v>12</v>
      </c>
      <c r="AK425" s="1">
        <v>14</v>
      </c>
      <c r="AL425" s="1">
        <v>13.5</v>
      </c>
      <c r="AM425" s="1">
        <v>13</v>
      </c>
      <c r="AN425" s="1"/>
      <c r="AO425" s="1"/>
      <c r="AP425" s="1">
        <v>11.5</v>
      </c>
      <c r="AQ425" s="1">
        <f>AVERAGE(AH425:AK425)</f>
        <v>13.25</v>
      </c>
      <c r="AR425" s="1">
        <f>AVERAGE(AN425:AP425)</f>
        <v>11.5</v>
      </c>
      <c r="AS425" s="12">
        <f>AVERAGE(AN425:AQ425)</f>
        <v>12.375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2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2"/>
      <c r="CC425" s="13">
        <f t="shared" si="90"/>
        <v>0</v>
      </c>
      <c r="CD425" s="6"/>
      <c r="CE425" s="6"/>
      <c r="CF425" s="6"/>
      <c r="CG425" s="6"/>
      <c r="CH425" s="6"/>
      <c r="CI425" s="6"/>
      <c r="CJ425" s="13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</row>
    <row r="426" spans="1:160" x14ac:dyDescent="0.3">
      <c r="A426" s="6" t="s">
        <v>305</v>
      </c>
      <c r="B426" s="10" t="s">
        <v>305</v>
      </c>
      <c r="C426" s="10" t="s">
        <v>671</v>
      </c>
      <c r="D426" s="6" t="s">
        <v>671</v>
      </c>
      <c r="E426" s="7"/>
      <c r="F426" s="7"/>
      <c r="G426" s="7">
        <v>9</v>
      </c>
      <c r="H426" s="7">
        <v>10</v>
      </c>
      <c r="I426" s="1"/>
      <c r="J426" s="1"/>
      <c r="K426" s="1"/>
      <c r="L426" s="1"/>
      <c r="M426" s="1"/>
      <c r="N426" s="1"/>
      <c r="O426" s="1"/>
      <c r="P426" s="1"/>
      <c r="Q426" s="12"/>
      <c r="R426" s="1"/>
      <c r="S426" s="1"/>
      <c r="T426" s="1">
        <v>9.5</v>
      </c>
      <c r="U426" s="1"/>
      <c r="V426" s="1"/>
      <c r="W426" s="1"/>
      <c r="X426" s="1"/>
      <c r="Y426" s="1"/>
      <c r="Z426" s="1"/>
      <c r="AA426" s="1"/>
      <c r="AB426" s="1">
        <v>8.1649999999999991</v>
      </c>
      <c r="AC426" s="1"/>
      <c r="AD426" s="1"/>
      <c r="AE426" s="1">
        <f>AVERAGE(E426:P426)</f>
        <v>9.5</v>
      </c>
      <c r="AF426" s="1">
        <f>AVERAGE(X426:AD426)</f>
        <v>8.1649999999999991</v>
      </c>
      <c r="AG426" s="1">
        <f>AVERAGE(AE426:AF426)</f>
        <v>8.8324999999999996</v>
      </c>
      <c r="AH426" s="1">
        <v>12</v>
      </c>
      <c r="AI426" s="1">
        <v>15</v>
      </c>
      <c r="AJ426" s="1">
        <v>10</v>
      </c>
      <c r="AK426" s="1">
        <v>14</v>
      </c>
      <c r="AL426" s="1">
        <v>13.5</v>
      </c>
      <c r="AM426" s="1">
        <v>12</v>
      </c>
      <c r="AN426" s="1"/>
      <c r="AO426" s="1"/>
      <c r="AP426" s="1"/>
      <c r="AQ426" s="1">
        <f>AVERAGE(AH426:AK426)</f>
        <v>12.75</v>
      </c>
      <c r="AR426" s="1"/>
      <c r="AS426" s="12">
        <f>AVERAGE(AN426:AQ426)</f>
        <v>12.75</v>
      </c>
      <c r="AT426" s="1">
        <v>5.5</v>
      </c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>
        <f>AVERAGE(AT426:AU426)</f>
        <v>5.5</v>
      </c>
      <c r="BM426" s="1"/>
      <c r="BN426" s="12">
        <f>AVERAGE(AT426:BK426)</f>
        <v>5.5</v>
      </c>
      <c r="BO426" s="1"/>
      <c r="BP426" s="1"/>
      <c r="BQ426" s="1">
        <v>184.27175</v>
      </c>
      <c r="BR426" s="1"/>
      <c r="BS426" s="1"/>
      <c r="BT426" s="1"/>
      <c r="BU426" s="1"/>
      <c r="BV426" s="1"/>
      <c r="BW426" s="1"/>
      <c r="BX426" s="1">
        <v>184.27175</v>
      </c>
      <c r="BY426" s="1"/>
      <c r="BZ426" s="1"/>
      <c r="CA426" s="1">
        <f>AVERAGE(BQ426:BU426)</f>
        <v>184.27175</v>
      </c>
      <c r="CB426" s="12">
        <f>CA426/1000</f>
        <v>0.18427174999999998</v>
      </c>
      <c r="CC426" s="13">
        <f t="shared" si="90"/>
        <v>1.0134946249999999</v>
      </c>
      <c r="CD426" s="6"/>
      <c r="CE426" s="6"/>
      <c r="CF426" s="6"/>
      <c r="CG426" s="6"/>
      <c r="CH426" s="6"/>
      <c r="CI426" s="6"/>
      <c r="CJ426" s="13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</row>
    <row r="427" spans="1:160" x14ac:dyDescent="0.3">
      <c r="A427" s="6" t="s">
        <v>305</v>
      </c>
      <c r="B427" s="10" t="s">
        <v>305</v>
      </c>
      <c r="C427" s="10" t="s">
        <v>672</v>
      </c>
      <c r="D427" s="6" t="s">
        <v>672</v>
      </c>
      <c r="E427" s="7"/>
      <c r="F427" s="7"/>
      <c r="G427" s="7"/>
      <c r="H427" s="7"/>
      <c r="I427" s="1"/>
      <c r="J427" s="1"/>
      <c r="K427" s="1"/>
      <c r="L427" s="1"/>
      <c r="M427" s="1"/>
      <c r="N427" s="1"/>
      <c r="O427" s="1"/>
      <c r="P427" s="1"/>
      <c r="Q427" s="12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2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2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2"/>
      <c r="CC427" s="13">
        <f t="shared" si="90"/>
        <v>0</v>
      </c>
      <c r="CD427" s="6"/>
      <c r="CE427" s="6"/>
      <c r="CF427" s="6"/>
      <c r="CG427" s="6"/>
      <c r="CH427" s="6"/>
      <c r="CI427" s="6"/>
      <c r="CJ427" s="13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</row>
    <row r="428" spans="1:160" x14ac:dyDescent="0.3">
      <c r="A428" s="6" t="s">
        <v>305</v>
      </c>
      <c r="B428" s="10" t="s">
        <v>305</v>
      </c>
      <c r="C428" s="10" t="s">
        <v>673</v>
      </c>
      <c r="D428" s="6" t="s">
        <v>674</v>
      </c>
      <c r="E428" s="7"/>
      <c r="F428" s="7"/>
      <c r="G428" s="7"/>
      <c r="H428" s="7"/>
      <c r="I428" s="1"/>
      <c r="J428" s="1"/>
      <c r="K428" s="1"/>
      <c r="L428" s="1"/>
      <c r="M428" s="1"/>
      <c r="N428" s="1"/>
      <c r="O428" s="1"/>
      <c r="P428" s="1"/>
      <c r="Q428" s="12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2"/>
      <c r="AT428" s="1"/>
      <c r="AU428" s="1"/>
      <c r="AV428" s="1"/>
      <c r="AW428" s="1"/>
      <c r="AX428" s="1"/>
      <c r="AY428" s="1"/>
      <c r="AZ428" s="1">
        <v>7</v>
      </c>
      <c r="BA428" s="1"/>
      <c r="BB428" s="1"/>
      <c r="BC428" s="1"/>
      <c r="BD428" s="1"/>
      <c r="BE428" s="1">
        <v>8</v>
      </c>
      <c r="BF428" s="1"/>
      <c r="BG428" s="1"/>
      <c r="BH428" s="1"/>
      <c r="BI428" s="1"/>
      <c r="BJ428" s="1"/>
      <c r="BK428" s="1"/>
      <c r="BL428" s="1"/>
      <c r="BM428" s="1">
        <f>AVERAGE(AV428:BI428)</f>
        <v>7.5</v>
      </c>
      <c r="BN428" s="12">
        <f>AVERAGE(AT428:BK428)</f>
        <v>7.5</v>
      </c>
      <c r="BO428" s="1"/>
      <c r="BP428" s="1"/>
      <c r="BQ428" s="1"/>
      <c r="BR428" s="1"/>
      <c r="BS428" s="1"/>
      <c r="BT428" s="1">
        <v>352</v>
      </c>
      <c r="BU428" s="1"/>
      <c r="BV428" s="1"/>
      <c r="BW428" s="1"/>
      <c r="BX428" s="1"/>
      <c r="BY428" s="1">
        <f>AVERAGE(BR428:BU428)</f>
        <v>352</v>
      </c>
      <c r="BZ428" s="1">
        <f>BY428/1000</f>
        <v>0.35199999999999998</v>
      </c>
      <c r="CA428" s="1">
        <f>AVERAGE(BQ428:BU428)</f>
        <v>352</v>
      </c>
      <c r="CB428" s="12">
        <f>CA428/1000</f>
        <v>0.35199999999999998</v>
      </c>
      <c r="CC428" s="13">
        <f t="shared" si="90"/>
        <v>2.6399999999999997</v>
      </c>
      <c r="CD428" s="6"/>
      <c r="CE428" s="6"/>
      <c r="CF428" s="6"/>
      <c r="CG428" s="6"/>
      <c r="CH428" s="6"/>
      <c r="CI428" s="6"/>
      <c r="CJ428" s="13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</row>
    <row r="429" spans="1:160" x14ac:dyDescent="0.3">
      <c r="A429" s="6" t="s">
        <v>305</v>
      </c>
      <c r="B429" s="10" t="s">
        <v>305</v>
      </c>
      <c r="C429" s="10" t="s">
        <v>675</v>
      </c>
      <c r="D429" s="6" t="s">
        <v>675</v>
      </c>
      <c r="E429" s="7">
        <v>4.53592</v>
      </c>
      <c r="F429" s="7">
        <v>6.8038800000000004</v>
      </c>
      <c r="G429" s="7">
        <v>4</v>
      </c>
      <c r="H429" s="7">
        <v>8</v>
      </c>
      <c r="I429" s="1"/>
      <c r="J429" s="1"/>
      <c r="K429" s="1"/>
      <c r="L429" s="1"/>
      <c r="M429" s="1"/>
      <c r="N429" s="1"/>
      <c r="O429" s="1"/>
      <c r="P429" s="1"/>
      <c r="Q429" s="12">
        <v>5.6699000000000002</v>
      </c>
      <c r="R429" s="1"/>
      <c r="S429" s="1"/>
      <c r="T429" s="1">
        <v>6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>
        <f>AVERAGE(E429:P429)</f>
        <v>5.8349500000000001</v>
      </c>
      <c r="AF429" s="1"/>
      <c r="AG429" s="1">
        <f>AVERAGE(AE429:AF429)</f>
        <v>5.8349500000000001</v>
      </c>
      <c r="AH429" s="1">
        <v>13</v>
      </c>
      <c r="AI429" s="1">
        <v>18</v>
      </c>
      <c r="AJ429" s="1">
        <v>12</v>
      </c>
      <c r="AK429" s="1">
        <v>15</v>
      </c>
      <c r="AL429" s="1">
        <v>15.5</v>
      </c>
      <c r="AM429" s="1">
        <v>13.5</v>
      </c>
      <c r="AN429" s="1"/>
      <c r="AO429" s="1"/>
      <c r="AP429" s="1"/>
      <c r="AQ429" s="1">
        <f>AVERAGE(AH429:AK429)</f>
        <v>14.5</v>
      </c>
      <c r="AR429" s="1"/>
      <c r="AS429" s="12">
        <f>AVERAGE(AN429:AQ429)</f>
        <v>14.5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2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2"/>
      <c r="CC429" s="13">
        <f t="shared" si="90"/>
        <v>0</v>
      </c>
      <c r="CD429" s="6"/>
      <c r="CE429" s="6"/>
      <c r="CF429" s="6"/>
      <c r="CG429" s="6"/>
      <c r="CH429" s="6"/>
      <c r="CI429" s="6"/>
      <c r="CJ429" s="13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</row>
    <row r="430" spans="1:160" x14ac:dyDescent="0.3">
      <c r="A430" s="6" t="s">
        <v>305</v>
      </c>
      <c r="B430" s="10" t="s">
        <v>305</v>
      </c>
      <c r="C430" s="10" t="s">
        <v>676</v>
      </c>
      <c r="D430" s="6" t="s">
        <v>676</v>
      </c>
      <c r="E430" s="7">
        <v>18.14368</v>
      </c>
      <c r="F430" s="7">
        <v>24.947559999999999</v>
      </c>
      <c r="G430" s="7"/>
      <c r="H430" s="7"/>
      <c r="I430" s="1"/>
      <c r="J430" s="1"/>
      <c r="K430" s="1"/>
      <c r="L430" s="1"/>
      <c r="M430" s="1"/>
      <c r="N430" s="1"/>
      <c r="O430" s="1"/>
      <c r="P430" s="1"/>
      <c r="Q430" s="12">
        <v>21.54562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>
        <f>AVERAGE(E430:P430)</f>
        <v>21.54562</v>
      </c>
      <c r="AF430" s="1"/>
      <c r="AG430" s="1">
        <f>AVERAGE(AE430:AF430)</f>
        <v>21.54562</v>
      </c>
      <c r="AH430" s="1">
        <v>10</v>
      </c>
      <c r="AI430" s="1">
        <v>12</v>
      </c>
      <c r="AJ430" s="1"/>
      <c r="AK430" s="1"/>
      <c r="AL430" s="1">
        <v>11</v>
      </c>
      <c r="AM430" s="1"/>
      <c r="AN430" s="1"/>
      <c r="AO430" s="1"/>
      <c r="AP430" s="1"/>
      <c r="AQ430" s="1">
        <f>AVERAGE(AH430:AK430)</f>
        <v>11</v>
      </c>
      <c r="AR430" s="1"/>
      <c r="AS430" s="12">
        <f>AVERAGE(AN430:AQ430)</f>
        <v>11</v>
      </c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2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2"/>
      <c r="CC430" s="13">
        <f t="shared" si="90"/>
        <v>0</v>
      </c>
      <c r="CD430" s="6"/>
      <c r="CE430" s="6"/>
      <c r="CF430" s="6"/>
      <c r="CG430" s="6"/>
      <c r="CH430" s="6"/>
      <c r="CI430" s="6"/>
      <c r="CJ430" s="13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</row>
    <row r="431" spans="1:160" x14ac:dyDescent="0.3">
      <c r="A431" s="6" t="s">
        <v>305</v>
      </c>
      <c r="B431" s="10" t="s">
        <v>305</v>
      </c>
      <c r="C431" s="10" t="s">
        <v>677</v>
      </c>
      <c r="D431" s="6" t="s">
        <v>678</v>
      </c>
      <c r="E431" s="7"/>
      <c r="F431" s="7"/>
      <c r="G431" s="7"/>
      <c r="H431" s="7"/>
      <c r="I431" s="1"/>
      <c r="J431" s="1"/>
      <c r="K431" s="1"/>
      <c r="L431" s="1"/>
      <c r="M431" s="1"/>
      <c r="N431" s="1"/>
      <c r="O431" s="1"/>
      <c r="P431" s="1"/>
      <c r="Q431" s="12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2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2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2"/>
      <c r="CC431" s="13">
        <f t="shared" si="90"/>
        <v>0</v>
      </c>
      <c r="CD431" s="6"/>
      <c r="CE431" s="6"/>
      <c r="CF431" s="6"/>
      <c r="CG431" s="6"/>
      <c r="CH431" s="6"/>
      <c r="CI431" s="6"/>
      <c r="CJ431" s="13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</row>
  </sheetData>
  <sortState xmlns:xlrd2="http://schemas.microsoft.com/office/spreadsheetml/2017/richdata2" ref="A4:CJ482">
    <sortCondition ref="B4:B482"/>
  </sortState>
  <mergeCells count="28">
    <mergeCell ref="AH1:AS1"/>
    <mergeCell ref="AT1:BP1"/>
    <mergeCell ref="BQ1:CB1"/>
    <mergeCell ref="W2:Y2"/>
    <mergeCell ref="AH2:AM2"/>
    <mergeCell ref="AN2:AP2"/>
    <mergeCell ref="AT2:AU2"/>
    <mergeCell ref="AV2:BI2"/>
    <mergeCell ref="BJ2:BK2"/>
    <mergeCell ref="BO2:BP2"/>
    <mergeCell ref="BR2:BU2"/>
    <mergeCell ref="BV2:BW2"/>
    <mergeCell ref="O2:P2"/>
    <mergeCell ref="R2:S2"/>
    <mergeCell ref="U2:V2"/>
    <mergeCell ref="A1:B2"/>
    <mergeCell ref="C1:D2"/>
    <mergeCell ref="E1:AG1"/>
    <mergeCell ref="E2:F2"/>
    <mergeCell ref="G2:H2"/>
    <mergeCell ref="I2:J2"/>
    <mergeCell ref="K2:L2"/>
    <mergeCell ref="M2:N2"/>
    <mergeCell ref="CJ1:CJ2"/>
    <mergeCell ref="CD1:CI1"/>
    <mergeCell ref="CD2:CF2"/>
    <mergeCell ref="CG2:CI2"/>
    <mergeCell ref="CC1:C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2022-07-21T22:28:36Z</dcterms:modified>
</cp:coreProperties>
</file>